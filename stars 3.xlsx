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932" firstSheet="0" activeTab="8" autoFilterDateGrouping="1"/>
  </bookViews>
  <sheets>
    <sheet name="Janvier" sheetId="1" state="visible" r:id="rId1"/>
    <sheet name="Février" sheetId="2" state="visible" r:id="rId2"/>
    <sheet name="Mars" sheetId="3" state="visible" r:id="rId3"/>
    <sheet name="Avril" sheetId="4" state="visible" r:id="rId4"/>
    <sheet name="Mai" sheetId="5" state="visible" r:id="rId5"/>
    <sheet name="Juin" sheetId="6" state="visible" r:id="rId6"/>
    <sheet name="Juillet" sheetId="7" state="visible" r:id="rId7"/>
    <sheet name="Aout" sheetId="8" state="visible" r:id="rId8"/>
    <sheet name="Septembre" sheetId="9" state="visible" r:id="rId9"/>
    <sheet name="Octobre" sheetId="10" state="visible" r:id="rId10"/>
    <sheet name="Novembre" sheetId="11" state="visible" r:id="rId11"/>
    <sheet name="Decembre" sheetId="12" state="visible" r:id="rId12"/>
    <sheet name="Noms des employés" sheetId="13" state="visible" r:id="rId13"/>
  </sheets>
  <definedNames>
    <definedName name="CalendarYear">Janvier!$AH$6</definedName>
    <definedName name="CléCongé">Janvier!$C$4</definedName>
    <definedName name="CléMaladie">Janvier!$J$4</definedName>
    <definedName name="CléPersonnalisée1">Janvier!$N$4</definedName>
    <definedName name="CléPersonnalisée2">Janvier!$S$4</definedName>
    <definedName name="CléPersonnel">Janvier!$F$4</definedName>
    <definedName name="ÉtiquetteCléCongé">Janvier!$D$4</definedName>
    <definedName name="ÉtiquetteCléMaladie">Janvier!$K$4</definedName>
    <definedName name="ÉtiquetteCléPersonnalisée1">Janvier!$O$4</definedName>
    <definedName name="ÉtiquetteCléPersonnalisée2">Janvier!$T$4</definedName>
    <definedName name="ÉtiquetteCléPersonnel">Janvier!$G$4</definedName>
    <definedName name="Nom_clé">Janvier!$B$4</definedName>
    <definedName name="NomMois">#REF!</definedName>
    <definedName name="Titre_Absence_Employé">Janvier!$B$1</definedName>
    <definedName name="Titre1">#REF!</definedName>
    <definedName name="Titre10">#REF!</definedName>
    <definedName name="Titre11">#REF!</definedName>
    <definedName name="Titre12">#REF!</definedName>
    <definedName name="Titre2">#REF!</definedName>
    <definedName name="Titre3">#REF!</definedName>
    <definedName name="Titre4">#REF!</definedName>
    <definedName name="Titre5">#REF!</definedName>
    <definedName name="Titre6">#REF!</definedName>
    <definedName name="Titre7">#REF!</definedName>
    <definedName name="Titre8">#REF!</definedName>
    <definedName name="Titre9">#REF!</definedName>
    <definedName name="TitreColonne13">NomEmployé[[#Headers],[Noms des employés]]</definedName>
    <definedName name="NomMois" localSheetId="0">Janvier!$B$2</definedName>
    <definedName name="_xlnm.Print_Titles" localSheetId="0">'Janvier'!$6:$8</definedName>
    <definedName name="CalendarYear" localSheetId="1">Février!$AH$6</definedName>
    <definedName name="CléCongé" localSheetId="1">Février!$C$4</definedName>
    <definedName name="CléMaladie" localSheetId="1">Février!$J$4</definedName>
    <definedName name="CléPersonnalisée1" localSheetId="1">Février!$N$4</definedName>
    <definedName name="CléPersonnalisée2" localSheetId="1">Février!$S$4</definedName>
    <definedName name="CléPersonnel" localSheetId="1">Février!$F$4</definedName>
    <definedName name="ÉtiquetteCléCongé" localSheetId="1">Février!$D$4</definedName>
    <definedName name="ÉtiquetteCléMaladie" localSheetId="1">Février!$K$4</definedName>
    <definedName name="ÉtiquetteCléPersonnalisée1" localSheetId="1">Février!$O$4</definedName>
    <definedName name="ÉtiquetteCléPersonnalisée2" localSheetId="1">Février!$T$4</definedName>
    <definedName name="ÉtiquetteCléPersonnel" localSheetId="1">Février!$G$4</definedName>
    <definedName name="Nom_clé" localSheetId="1">Février!$B$4</definedName>
    <definedName name="NomMois" localSheetId="1">Février!$B$2</definedName>
    <definedName name="Titre_Absence_Employé" localSheetId="1">Février!$B$1</definedName>
    <definedName name="Titre10" localSheetId="1">#REF!</definedName>
    <definedName name="Titre11" localSheetId="1">#REF!</definedName>
    <definedName name="Titre12" localSheetId="1">#REF!</definedName>
    <definedName name="Titre3" localSheetId="1">#REF!</definedName>
    <definedName name="Titre4" localSheetId="1">#REF!</definedName>
    <definedName name="Titre5" localSheetId="1">#REF!</definedName>
    <definedName name="Titre6" localSheetId="1">#REF!</definedName>
    <definedName name="Titre7" localSheetId="1">#REF!</definedName>
    <definedName name="Titre8" localSheetId="1">#REF!</definedName>
    <definedName name="Titre9" localSheetId="1">#REF!</definedName>
    <definedName name="TitreColonne13" localSheetId="1">NomEmployé[[#Headers],[Noms des employés]]</definedName>
    <definedName name="_xlnm.Print_Titles" localSheetId="1">'Février'!$6:$8</definedName>
    <definedName name="CalendarYear" localSheetId="2">Mars!$AH$6</definedName>
    <definedName name="CléCongé" localSheetId="2">Mars!$C$4</definedName>
    <definedName name="CléMaladie" localSheetId="2">Mars!$J$4</definedName>
    <definedName name="CléPersonnalisée1" localSheetId="2">Mars!$N$4</definedName>
    <definedName name="CléPersonnalisée2" localSheetId="2">Mars!$S$4</definedName>
    <definedName name="CléPersonnel" localSheetId="2">Mars!$F$4</definedName>
    <definedName name="ÉtiquetteCléCongé" localSheetId="2">Mars!$D$4</definedName>
    <definedName name="ÉtiquetteCléMaladie" localSheetId="2">Mars!$K$4</definedName>
    <definedName name="ÉtiquetteCléPersonnalisée1" localSheetId="2">Mars!$O$4</definedName>
    <definedName name="ÉtiquetteCléPersonnalisée2" localSheetId="2">Mars!$T$4</definedName>
    <definedName name="ÉtiquetteCléPersonnel" localSheetId="2">Mars!$G$4</definedName>
    <definedName name="Nom_clé" localSheetId="2">Mars!$B$4</definedName>
    <definedName name="NomMois" localSheetId="2">Mars!$B$2</definedName>
    <definedName name="Titre_Absence_Employé" localSheetId="2">Mars!$B$1</definedName>
    <definedName name="Titre10" localSheetId="2">#REF!</definedName>
    <definedName name="Titre11" localSheetId="2">#REF!</definedName>
    <definedName name="Titre12" localSheetId="2">#REF!</definedName>
    <definedName name="Titre5" localSheetId="2">#REF!</definedName>
    <definedName name="Titre6" localSheetId="2">#REF!</definedName>
    <definedName name="Titre7" localSheetId="2">#REF!</definedName>
    <definedName name="Titre8" localSheetId="2">#REF!</definedName>
    <definedName name="Titre9" localSheetId="2">#REF!</definedName>
    <definedName name="TitreColonne13" localSheetId="2">NomEmployé[[#Headers],[Noms des employés]]</definedName>
    <definedName name="_xlnm.Print_Titles" localSheetId="2">'Mars'!$6:$8</definedName>
    <definedName name="CalendarYear" localSheetId="3">Avril!$AH$6</definedName>
    <definedName name="CléCongé" localSheetId="3">Avril!$C$4</definedName>
    <definedName name="CléMaladie" localSheetId="3">Avril!$J$4</definedName>
    <definedName name="CléPersonnalisée1" localSheetId="3">Avril!$N$4</definedName>
    <definedName name="CléPersonnalisée2" localSheetId="3">Avril!$S$4</definedName>
    <definedName name="CléPersonnel" localSheetId="3">Avril!$F$4</definedName>
    <definedName name="ÉtiquetteCléCongé" localSheetId="3">Avril!$D$4</definedName>
    <definedName name="ÉtiquetteCléMaladie" localSheetId="3">Avril!$K$4</definedName>
    <definedName name="ÉtiquetteCléPersonnalisée1" localSheetId="3">Avril!$O$4</definedName>
    <definedName name="ÉtiquetteCléPersonnalisée2" localSheetId="3">Avril!$T$4</definedName>
    <definedName name="ÉtiquetteCléPersonnel" localSheetId="3">Avril!$G$4</definedName>
    <definedName name="Nom_clé" localSheetId="3">Avril!$B$4</definedName>
    <definedName name="NomMois" localSheetId="3">Avril!$B$2</definedName>
    <definedName name="Titre_Absence_Employé" localSheetId="3">Avril!$B$1</definedName>
    <definedName name="Titre10" localSheetId="3">#REF!</definedName>
    <definedName name="Titre11" localSheetId="3">#REF!</definedName>
    <definedName name="Titre12" localSheetId="3">#REF!</definedName>
    <definedName name="Titre5" localSheetId="3">#REF!</definedName>
    <definedName name="Titre6" localSheetId="3">#REF!</definedName>
    <definedName name="Titre7" localSheetId="3">#REF!</definedName>
    <definedName name="Titre8" localSheetId="3">#REF!</definedName>
    <definedName name="Titre9" localSheetId="3">#REF!</definedName>
    <definedName name="TitreColonne13" localSheetId="3">NomEmployé[[#Headers],[Noms des employés]]</definedName>
    <definedName name="_xlnm.Print_Titles" localSheetId="3">'Avril'!$6:$8</definedName>
    <definedName name="CalendarYear" localSheetId="4">Mai!$AH$6</definedName>
    <definedName name="CléCongé" localSheetId="4">Mai!$C$4</definedName>
    <definedName name="CléMaladie" localSheetId="4">Mai!$J$4</definedName>
    <definedName name="CléPersonnalisée1" localSheetId="4">Mai!$N$4</definedName>
    <definedName name="CléPersonnalisée2" localSheetId="4">Mai!$S$4</definedName>
    <definedName name="CléPersonnel" localSheetId="4">Mai!$F$4</definedName>
    <definedName name="ÉtiquetteCléCongé" localSheetId="4">Mai!$D$4</definedName>
    <definedName name="ÉtiquetteCléMaladie" localSheetId="4">Mai!$K$4</definedName>
    <definedName name="ÉtiquetteCléPersonnalisée1" localSheetId="4">Mai!$O$4</definedName>
    <definedName name="ÉtiquetteCléPersonnalisée2" localSheetId="4">Mai!$T$4</definedName>
    <definedName name="ÉtiquetteCléPersonnel" localSheetId="4">Mai!$G$4</definedName>
    <definedName name="Nom_clé" localSheetId="4">Mai!$B$4</definedName>
    <definedName name="NomMois" localSheetId="4">Mai!$B$2</definedName>
    <definedName name="Titre_Absence_Employé" localSheetId="4">Mai!$B$1</definedName>
    <definedName name="Titre10" localSheetId="4">#REF!</definedName>
    <definedName name="Titre11" localSheetId="4">#REF!</definedName>
    <definedName name="Titre12" localSheetId="4">#REF!</definedName>
    <definedName name="Titre5" localSheetId="4">#REF!</definedName>
    <definedName name="Titre6" localSheetId="4">#REF!</definedName>
    <definedName name="Titre7" localSheetId="4">#REF!</definedName>
    <definedName name="Titre8" localSheetId="4">#REF!</definedName>
    <definedName name="Titre9" localSheetId="4">#REF!</definedName>
    <definedName name="TitreColonne13" localSheetId="4">NomEmployé[[#Headers],[Noms des employés]]</definedName>
    <definedName name="_xlnm.Print_Titles" localSheetId="4">'Mai'!$6:$8</definedName>
    <definedName name="CalendarYear" localSheetId="5">Juin!$AH$6</definedName>
    <definedName name="CléCongé" localSheetId="5">Juin!$C$4</definedName>
    <definedName name="CléMaladie" localSheetId="5">Juin!$J$4</definedName>
    <definedName name="CléPersonnalisée1" localSheetId="5">Juin!$N$4</definedName>
    <definedName name="CléPersonnalisée2" localSheetId="5">Juin!$S$4</definedName>
    <definedName name="CléPersonnel" localSheetId="5">Juin!$F$4</definedName>
    <definedName name="ÉtiquetteCléCongé" localSheetId="5">Juin!$D$4</definedName>
    <definedName name="ÉtiquetteCléMaladie" localSheetId="5">Juin!$K$4</definedName>
    <definedName name="ÉtiquetteCléPersonnalisée1" localSheetId="5">Juin!$O$4</definedName>
    <definedName name="ÉtiquetteCléPersonnalisée2" localSheetId="5">Juin!$T$4</definedName>
    <definedName name="ÉtiquetteCléPersonnel" localSheetId="5">Juin!$G$4</definedName>
    <definedName name="Nom_clé" localSheetId="5">Juin!$B$4</definedName>
    <definedName name="NomMois" localSheetId="5">Juin!$B$2</definedName>
    <definedName name="Titre_Absence_Employé" localSheetId="5">Juin!$B$1</definedName>
    <definedName name="Titre10" localSheetId="5">#REF!</definedName>
    <definedName name="Titre11" localSheetId="5">#REF!</definedName>
    <definedName name="Titre12" localSheetId="5">#REF!</definedName>
    <definedName name="Titre5" localSheetId="5">#REF!</definedName>
    <definedName name="Titre6" localSheetId="5">#REF!</definedName>
    <definedName name="Titre7" localSheetId="5">#REF!</definedName>
    <definedName name="Titre8" localSheetId="5">#REF!</definedName>
    <definedName name="Titre9" localSheetId="5">#REF!</definedName>
    <definedName name="TitreColonne13" localSheetId="5">NomEmployé[[#Headers],[Noms des employés]]</definedName>
    <definedName name="_xlnm.Print_Titles" localSheetId="5">'Juin'!$6:$8</definedName>
    <definedName name="CalendarYear" localSheetId="6">Juillet!$AH$6</definedName>
    <definedName name="CléCongé" localSheetId="6">Juillet!$C$4</definedName>
    <definedName name="CléMaladie" localSheetId="6">Juillet!$J$4</definedName>
    <definedName name="CléPersonnalisée1" localSheetId="6">Juillet!$N$4</definedName>
    <definedName name="CléPersonnalisée2" localSheetId="6">Juillet!$S$4</definedName>
    <definedName name="CléPersonnel" localSheetId="6">Juillet!$F$4</definedName>
    <definedName name="ÉtiquetteCléCongé" localSheetId="6">Juillet!$D$4</definedName>
    <definedName name="ÉtiquetteCléMaladie" localSheetId="6">Juillet!$K$4</definedName>
    <definedName name="ÉtiquetteCléPersonnalisée1" localSheetId="6">Juillet!$O$4</definedName>
    <definedName name="ÉtiquetteCléPersonnalisée2" localSheetId="6">Juillet!$T$4</definedName>
    <definedName name="ÉtiquetteCléPersonnel" localSheetId="6">Juillet!$G$4</definedName>
    <definedName name="Nom_clé" localSheetId="6">Juillet!$B$4</definedName>
    <definedName name="NomMois" localSheetId="6">Juillet!$B$2</definedName>
    <definedName name="Titre_Absence_Employé" localSheetId="6">Juillet!$B$1</definedName>
    <definedName name="Titre10" localSheetId="6">#REF!</definedName>
    <definedName name="Titre11" localSheetId="6">#REF!</definedName>
    <definedName name="Titre12" localSheetId="6">#REF!</definedName>
    <definedName name="Titre5" localSheetId="6">#REF!</definedName>
    <definedName name="Titre6" localSheetId="6">#REF!</definedName>
    <definedName name="Titre7" localSheetId="6">#REF!</definedName>
    <definedName name="Titre8" localSheetId="6">#REF!</definedName>
    <definedName name="Titre9" localSheetId="6">#REF!</definedName>
    <definedName name="TitreColonne13" localSheetId="6">NomEmployé[[#Headers],[Noms des employés]]</definedName>
    <definedName name="_xlnm.Print_Titles" localSheetId="6">'Juillet'!$6:$8</definedName>
    <definedName name="CalendarYear" localSheetId="7">Aout!$AH$6</definedName>
    <definedName name="CléCongé" localSheetId="7">Aout!$C$4</definedName>
    <definedName name="CléMaladie" localSheetId="7">Aout!$J$4</definedName>
    <definedName name="CléPersonnalisée1" localSheetId="7">Aout!$N$4</definedName>
    <definedName name="CléPersonnalisée2" localSheetId="7">Aout!$S$4</definedName>
    <definedName name="CléPersonnel" localSheetId="7">Aout!$F$4</definedName>
    <definedName name="ÉtiquetteCléCongé" localSheetId="7">Aout!$D$4</definedName>
    <definedName name="ÉtiquetteCléMaladie" localSheetId="7">Aout!$K$4</definedName>
    <definedName name="ÉtiquetteCléPersonnalisée1" localSheetId="7">Aout!$O$4</definedName>
    <definedName name="ÉtiquetteCléPersonnalisée2" localSheetId="7">Aout!$T$4</definedName>
    <definedName name="ÉtiquetteCléPersonnel" localSheetId="7">Aout!$G$4</definedName>
    <definedName name="Nom_clé" localSheetId="7">Aout!$B$4</definedName>
    <definedName name="NomMois" localSheetId="7">Aout!$B$2</definedName>
    <definedName name="Titre_Absence_Employé" localSheetId="7">Aout!$B$1</definedName>
    <definedName name="Titre10" localSheetId="7">#REF!</definedName>
    <definedName name="Titre11" localSheetId="7">#REF!</definedName>
    <definedName name="Titre12" localSheetId="7">#REF!</definedName>
    <definedName name="Titre5" localSheetId="7">#REF!</definedName>
    <definedName name="Titre6" localSheetId="7">#REF!</definedName>
    <definedName name="Titre7" localSheetId="7">#REF!</definedName>
    <definedName name="Titre8" localSheetId="7">#REF!</definedName>
    <definedName name="Titre9" localSheetId="7">#REF!</definedName>
    <definedName name="TitreColonne13" localSheetId="7">NomEmployé[[#Headers],[Noms des employés]]</definedName>
    <definedName name="_xlnm.Print_Titles" localSheetId="7">'Aout'!$6:$8</definedName>
    <definedName name="CalendarYear" localSheetId="8">Septembre!$AH$6</definedName>
    <definedName name="CléCongé" localSheetId="8">Septembre!$C$4</definedName>
    <definedName name="CléMaladie" localSheetId="8">Septembre!$J$4</definedName>
    <definedName name="CléPersonnalisée1" localSheetId="8">Septembre!$N$4</definedName>
    <definedName name="CléPersonnalisée2" localSheetId="8">Septembre!$S$4</definedName>
    <definedName name="CléPersonnel" localSheetId="8">Septembre!$F$4</definedName>
    <definedName name="ÉtiquetteCléCongé" localSheetId="8">Septembre!$D$4</definedName>
    <definedName name="ÉtiquetteCléMaladie" localSheetId="8">Septembre!$K$4</definedName>
    <definedName name="ÉtiquetteCléPersonnalisée1" localSheetId="8">Septembre!$O$4</definedName>
    <definedName name="ÉtiquetteCléPersonnalisée2" localSheetId="8">Septembre!$T$4</definedName>
    <definedName name="ÉtiquetteCléPersonnel" localSheetId="8">Septembre!$G$4</definedName>
    <definedName name="Nom_clé" localSheetId="8">Septembre!$B$4</definedName>
    <definedName name="NomMois" localSheetId="8">Septembre!$B$2</definedName>
    <definedName name="Titre_Absence_Employé" localSheetId="8">Septembre!$B$1</definedName>
    <definedName name="Titre10" localSheetId="8">#REF!</definedName>
    <definedName name="Titre11" localSheetId="8">#REF!</definedName>
    <definedName name="Titre12" localSheetId="8">#REF!</definedName>
    <definedName name="Titre5" localSheetId="8">#REF!</definedName>
    <definedName name="Titre6" localSheetId="8">#REF!</definedName>
    <definedName name="Titre7" localSheetId="8">#REF!</definedName>
    <definedName name="Titre8" localSheetId="8">#REF!</definedName>
    <definedName name="Titre9" localSheetId="8">#REF!</definedName>
    <definedName name="TitreColonne13" localSheetId="8">NomEmployé[[#Headers],[Noms des employés]]</definedName>
    <definedName name="_xlnm.Print_Titles" localSheetId="8">'Septembre'!$6:$8</definedName>
    <definedName name="CalendarYear" localSheetId="9">Octobre!$AH$6</definedName>
    <definedName name="CléCongé" localSheetId="9">Octobre!$C$4</definedName>
    <definedName name="CléMaladie" localSheetId="9">Octobre!$J$4</definedName>
    <definedName name="CléPersonnalisée1" localSheetId="9">Octobre!$N$4</definedName>
    <definedName name="CléPersonnalisée2" localSheetId="9">Octobre!$S$4</definedName>
    <definedName name="CléPersonnel" localSheetId="9">Octobre!$F$4</definedName>
    <definedName name="ÉtiquetteCléCongé" localSheetId="9">Octobre!$D$4</definedName>
    <definedName name="ÉtiquetteCléMaladie" localSheetId="9">Octobre!$K$4</definedName>
    <definedName name="ÉtiquetteCléPersonnalisée1" localSheetId="9">Octobre!$O$4</definedName>
    <definedName name="ÉtiquetteCléPersonnalisée2" localSheetId="9">Octobre!$T$4</definedName>
    <definedName name="ÉtiquetteCléPersonnel" localSheetId="9">Octobre!$G$4</definedName>
    <definedName name="Nom_clé" localSheetId="9">Octobre!$B$4</definedName>
    <definedName name="NomMois" localSheetId="9">Octobre!$B$2</definedName>
    <definedName name="Titre_Absence_Employé" localSheetId="9">Octobre!$B$1</definedName>
    <definedName name="Titre10" localSheetId="9">#REF!</definedName>
    <definedName name="Titre11" localSheetId="9">#REF!</definedName>
    <definedName name="Titre12" localSheetId="9">#REF!</definedName>
    <definedName name="Titre5" localSheetId="9">#REF!</definedName>
    <definedName name="Titre6" localSheetId="9">#REF!</definedName>
    <definedName name="Titre7" localSheetId="9">#REF!</definedName>
    <definedName name="Titre8" localSheetId="9">#REF!</definedName>
    <definedName name="Titre9" localSheetId="9">#REF!</definedName>
    <definedName name="TitreColonne13" localSheetId="9">NomEmployé[[#Headers],[Noms des employés]]</definedName>
    <definedName name="_xlnm.Print_Titles" localSheetId="9">'Octobre'!$6:$8</definedName>
    <definedName name="CalendarYear" localSheetId="10">Novembre!$AH$6</definedName>
    <definedName name="CléCongé" localSheetId="10">Novembre!$C$4</definedName>
    <definedName name="CléMaladie" localSheetId="10">Novembre!$J$4</definedName>
    <definedName name="CléPersonnalisée1" localSheetId="10">Novembre!$N$4</definedName>
    <definedName name="CléPersonnalisée2" localSheetId="10">Novembre!$S$4</definedName>
    <definedName name="CléPersonnel" localSheetId="10">Novembre!$F$4</definedName>
    <definedName name="ÉtiquetteCléCongé" localSheetId="10">Novembre!$D$4</definedName>
    <definedName name="ÉtiquetteCléMaladie" localSheetId="10">Novembre!$K$4</definedName>
    <definedName name="ÉtiquetteCléPersonnalisée1" localSheetId="10">Novembre!$O$4</definedName>
    <definedName name="ÉtiquetteCléPersonnalisée2" localSheetId="10">Novembre!$T$4</definedName>
    <definedName name="ÉtiquetteCléPersonnel" localSheetId="10">Novembre!$G$4</definedName>
    <definedName name="Nom_clé" localSheetId="10">Novembre!$B$4</definedName>
    <definedName name="NomMois" localSheetId="10">Novembre!$B$2</definedName>
    <definedName name="Titre_Absence_Employé" localSheetId="10">Novembre!$B$1</definedName>
    <definedName name="Titre10" localSheetId="10">#REF!</definedName>
    <definedName name="Titre11" localSheetId="10">#REF!</definedName>
    <definedName name="Titre12" localSheetId="10">#REF!</definedName>
    <definedName name="Titre5" localSheetId="10">#REF!</definedName>
    <definedName name="Titre6" localSheetId="10">#REF!</definedName>
    <definedName name="Titre7" localSheetId="10">#REF!</definedName>
    <definedName name="Titre8" localSheetId="10">#REF!</definedName>
    <definedName name="Titre9" localSheetId="10">#REF!</definedName>
    <definedName name="TitreColonne13" localSheetId="10">NomEmployé[[#Headers],[Noms des employés]]</definedName>
    <definedName name="_xlnm.Print_Titles" localSheetId="10">'Novembre'!$6:$8</definedName>
    <definedName name="CalendarYear" localSheetId="11">Decembre!$AH$6</definedName>
    <definedName name="CléCongé" localSheetId="11">Decembre!$C$4</definedName>
    <definedName name="CléMaladie" localSheetId="11">Decembre!$J$4</definedName>
    <definedName name="CléPersonnalisée1" localSheetId="11">Decembre!$N$4</definedName>
    <definedName name="CléPersonnalisée2" localSheetId="11">Decembre!$S$4</definedName>
    <definedName name="CléPersonnel" localSheetId="11">Decembre!$F$4</definedName>
    <definedName name="ÉtiquetteCléCongé" localSheetId="11">Decembre!$D$4</definedName>
    <definedName name="ÉtiquetteCléMaladie" localSheetId="11">Decembre!$K$4</definedName>
    <definedName name="ÉtiquetteCléPersonnalisée1" localSheetId="11">Decembre!$O$4</definedName>
    <definedName name="ÉtiquetteCléPersonnalisée2" localSheetId="11">Decembre!$T$4</definedName>
    <definedName name="ÉtiquetteCléPersonnel" localSheetId="11">Decembre!$G$4</definedName>
    <definedName name="Nom_clé" localSheetId="11">Decembre!$B$4</definedName>
    <definedName name="NomMois" localSheetId="11">Decembre!$B$2</definedName>
    <definedName name="Titre_Absence_Employé" localSheetId="11">Decembre!$B$1</definedName>
    <definedName name="Titre10" localSheetId="11">#REF!</definedName>
    <definedName name="Titre11" localSheetId="11">#REF!</definedName>
    <definedName name="Titre12" localSheetId="11">#REF!</definedName>
    <definedName name="Titre5" localSheetId="11">#REF!</definedName>
    <definedName name="Titre6" localSheetId="11">#REF!</definedName>
    <definedName name="Titre7" localSheetId="11">#REF!</definedName>
    <definedName name="Titre8" localSheetId="11">#REF!</definedName>
    <definedName name="Titre9" localSheetId="11">#REF!</definedName>
    <definedName name="TitreColonne13" localSheetId="11">NomEmployé[[#Headers],[Noms des employés]]</definedName>
    <definedName name="_xlnm.Print_Titles" localSheetId="11">'Decembre'!$6:$8</definedName>
  </definedNames>
  <calcPr calcId="191029" fullCalcOnLoad="1"/>
</workbook>
</file>

<file path=xl/styles.xml><?xml version="1.0" encoding="utf-8"?>
<styleSheet xmlns="http://schemas.openxmlformats.org/spreadsheetml/2006/main">
  <numFmts count="1">
    <numFmt numFmtId="164" formatCode="0;0;"/>
  </numFmts>
  <fonts count="31">
    <font>
      <name val="Calibri"/>
      <family val="2"/>
      <color theme="0"/>
      <sz val="11"/>
    </font>
    <font>
      <name val="Calibri"/>
      <family val="2"/>
      <color theme="1"/>
      <sz val="11"/>
      <scheme val="minor"/>
    </font>
    <font>
      <name val="Calibri"/>
      <family val="2"/>
      <color rgb="FF000000"/>
      <sz val="11"/>
      <scheme val="minor"/>
    </font>
    <font>
      <name val="Calibri"/>
      <family val="2"/>
      <b val="1"/>
      <color theme="3"/>
      <sz val="18"/>
      <scheme val="minor"/>
    </font>
    <font>
      <name val="Calibri"/>
      <family val="2"/>
      <b val="1"/>
      <color theme="0"/>
      <sz val="11"/>
      <scheme val="minor"/>
    </font>
    <font>
      <name val="Calibri"/>
      <family val="2"/>
      <b val="1"/>
      <color theme="4" tint="0.09994811853389081"/>
      <sz val="18"/>
      <scheme val="minor"/>
    </font>
    <font>
      <name val="Calibri"/>
      <family val="2"/>
      <b val="1"/>
      <sz val="11"/>
      <scheme val="minor"/>
    </font>
    <font>
      <name val="Calibri"/>
      <charset val="134"/>
      <family val="2"/>
      <color theme="1"/>
      <sz val="11"/>
    </font>
    <font>
      <name val="Calibri"/>
      <family val="2"/>
      <color theme="1"/>
      <sz val="11"/>
    </font>
    <font>
      <name val="Calibri"/>
      <family val="2"/>
      <b val="1"/>
      <color theme="1"/>
      <sz val="11"/>
    </font>
    <font>
      <name val="Calibri"/>
      <family val="2"/>
      <color theme="0"/>
      <sz val="11"/>
    </font>
    <font>
      <name val="Calibri"/>
      <charset val="134"/>
      <family val="2"/>
      <color theme="0"/>
      <sz val="11"/>
    </font>
    <font>
      <name val="Calibri"/>
      <charset val="134"/>
      <family val="2"/>
      <color rgb="FF9C0006"/>
      <sz val="11"/>
    </font>
    <font>
      <name val="Calibri"/>
      <charset val="134"/>
      <family val="2"/>
      <b val="1"/>
      <color rgb="FFFA7D00"/>
      <sz val="11"/>
    </font>
    <font>
      <name val="Calibri"/>
      <charset val="134"/>
      <family val="2"/>
      <b val="1"/>
      <color theme="0"/>
      <sz val="11"/>
    </font>
    <font>
      <name val="Calibri"/>
      <family val="2"/>
      <color theme="4" tint="-0.499984740745262"/>
      <sz val="11"/>
    </font>
    <font>
      <name val="Calibri"/>
      <charset val="134"/>
      <family val="2"/>
      <i val="1"/>
      <color rgb="FF7F7F7F"/>
      <sz val="11"/>
    </font>
    <font>
      <name val="Calibri"/>
      <charset val="134"/>
      <family val="2"/>
      <color rgb="FF006100"/>
      <sz val="11"/>
    </font>
    <font>
      <name val="Calibri"/>
      <family val="2"/>
      <b val="1"/>
      <color theme="3" tint="-0.249946592608417"/>
      <sz val="26"/>
    </font>
    <font>
      <name val="Calibri"/>
      <family val="2"/>
      <b val="1"/>
      <color theme="4" tint="-0.249946592608417"/>
      <sz val="18"/>
    </font>
    <font>
      <name val="Calibri"/>
      <charset val="134"/>
      <family val="2"/>
      <color rgb="FF3F3F76"/>
      <sz val="11"/>
    </font>
    <font>
      <name val="Calibri"/>
      <charset val="134"/>
      <family val="2"/>
      <color rgb="FFFA7D00"/>
      <sz val="11"/>
    </font>
    <font>
      <name val="Calibri"/>
      <charset val="134"/>
      <family val="2"/>
      <color rgb="FF9C5700"/>
      <sz val="11"/>
    </font>
    <font>
      <name val="Calibri"/>
      <charset val="134"/>
      <family val="2"/>
      <b val="1"/>
      <color rgb="FF3F3F3F"/>
      <sz val="11"/>
    </font>
    <font>
      <name val="Calibri"/>
      <family val="2"/>
      <b val="1"/>
      <color theme="3"/>
      <sz val="26"/>
    </font>
    <font>
      <name val="Calibri"/>
      <charset val="134"/>
      <family val="2"/>
      <color rgb="FFFF0000"/>
      <sz val="11"/>
    </font>
    <font>
      <name val="DengXian"/>
      <charset val="134"/>
      <family val="3"/>
      <sz val="9"/>
    </font>
    <font>
      <name val="Calibri"/>
      <family val="2"/>
      <b val="1"/>
      <color theme="1"/>
      <sz val="11"/>
      <scheme val="minor"/>
    </font>
    <font>
      <name val="Calibri"/>
      <family val="2"/>
      <sz val="11"/>
    </font>
    <font>
      <name val="Calibri"/>
      <family val="2"/>
      <b val="1"/>
      <color theme="0"/>
      <sz val="11"/>
    </font>
    <font>
      <name val="Calibri"/>
      <family val="2"/>
      <b val="1"/>
      <color theme="8" tint="-0.249977111117893"/>
      <sz val="48"/>
      <scheme val="minor"/>
    </font>
  </fonts>
  <fills count="42">
    <fill>
      <patternFill/>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
        <bgColor indexed="65"/>
      </patternFill>
    </fill>
    <fill>
      <patternFill patternType="solid">
        <fgColor theme="7" tint="0.3999755851924192"/>
        <bgColor indexed="65"/>
      </patternFill>
    </fill>
    <fill>
      <patternFill patternType="solid">
        <fgColor theme="3" tint="0.7999816888943144"/>
        <bgColor indexed="64"/>
      </patternFill>
    </fill>
    <fill>
      <patternFill patternType="solid">
        <fgColor theme="3" tint="-0.249946592608417"/>
        <bgColor indexed="64"/>
      </patternFill>
    </fill>
    <fill>
      <patternFill patternType="solid">
        <fgColor theme="3" tint="0.3999450666829432"/>
        <bgColor indexed="64"/>
      </patternFill>
    </fill>
    <fill>
      <patternFill patternType="solid">
        <fgColor theme="7" tint="0.5999633777886288"/>
        <bgColor indexed="64"/>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6" tint="0.3999755851924192"/>
        <bgColor indexed="65"/>
      </patternFill>
    </fill>
    <fill>
      <patternFill patternType="solid">
        <fgColor theme="8" tint="0.5999938962981048"/>
        <bgColor indexed="65"/>
      </patternFill>
    </fill>
    <fill>
      <patternFill patternType="solid">
        <fgColor theme="4" tint="0.3999450666829432"/>
        <bgColor indexed="64"/>
      </patternFill>
    </fill>
    <fill>
      <patternFill patternType="solid">
        <fgColor theme="4" tint="0.5999633777886288"/>
        <bgColor indexed="64"/>
      </patternFill>
    </fill>
    <fill>
      <patternFill patternType="solid">
        <fgColor theme="4" tint="0.7999816888943144"/>
        <bgColor indexed="64"/>
      </patternFill>
    </fill>
    <fill>
      <patternFill patternType="solid">
        <fgColor rgb="FFF8E3E0"/>
        <bgColor indexed="64"/>
      </patternFill>
    </fill>
    <fill>
      <patternFill patternType="solid">
        <fgColor theme="5" tint="0.3999450666829432"/>
        <bgColor indexed="64"/>
      </patternFill>
    </fill>
    <fill>
      <patternFill patternType="solid">
        <fgColor theme="6" tint="0.5999633777886288"/>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
        <bgColor indexed="65"/>
      </patternFill>
    </fill>
    <fill>
      <patternFill patternType="solid">
        <fgColor theme="5"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3999755851924192"/>
        <bgColor indexed="65"/>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5" tint="-0.249946592608417"/>
        <bgColor theme="5" tint="-0.249946592608417"/>
      </patternFill>
    </fill>
    <fill>
      <patternFill patternType="solid">
        <fgColor theme="4" tint="0.499984740745262"/>
        <bgColor indexed="64"/>
      </patternFill>
    </fill>
    <fill>
      <patternFill patternType="solid">
        <fgColor theme="6" tint="0.3999755851924192"/>
        <bgColor indexed="64"/>
      </patternFill>
    </fill>
    <fill>
      <patternFill patternType="solid">
        <fgColor theme="9" tint="0.3999755851924192"/>
        <bgColor indexed="64"/>
      </patternFill>
    </fill>
    <fill>
      <patternFill patternType="solid">
        <fgColor theme="1"/>
        <bgColor indexed="64"/>
      </patternFill>
    </fill>
  </fills>
  <borders count="17">
    <border>
      <left/>
      <right/>
      <top/>
      <bottom/>
      <diagonal/>
    </border>
    <border>
      <left/>
      <right/>
      <top/>
      <bottom style="thin">
        <color theme="4"/>
      </bottom>
      <diagonal/>
    </border>
    <border>
      <left/>
      <right/>
      <top style="thin">
        <color theme="4"/>
      </top>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medium">
        <color rgb="FFFF0000"/>
      </left>
      <right style="medium">
        <color rgb="FFFF0000"/>
      </right>
      <top style="medium">
        <color rgb="FFFF0000"/>
      </top>
      <bottom style="medium">
        <color rgb="FFFF0000"/>
      </bottom>
      <diagonal/>
    </border>
    <border>
      <left style="medium">
        <color rgb="FFFF0000"/>
      </left>
      <right/>
      <top/>
      <bottom/>
      <diagonal/>
    </border>
    <border>
      <left style="medium">
        <color theme="8" tint="-0.249977111117893"/>
      </left>
      <right style="medium">
        <color theme="8" tint="-0.249977111117893"/>
      </right>
      <top style="medium">
        <color theme="8" tint="-0.249977111117893"/>
      </top>
      <bottom style="medium">
        <color theme="8" tint="-0.249977111117893"/>
      </bottom>
      <diagonal/>
    </border>
    <border>
      <left style="thick">
        <color theme="0"/>
      </left>
      <right/>
      <top/>
      <bottom/>
      <diagonal/>
    </border>
    <border>
      <left/>
      <right style="thick">
        <color theme="0"/>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n">
        <color theme="5" tint="0.5999633777886288"/>
      </top>
      <bottom/>
      <diagonal/>
    </border>
    <border>
      <left style="thick">
        <color theme="0"/>
      </left>
      <right style="thick">
        <color theme="0"/>
      </right>
      <top/>
      <bottom/>
      <diagonal/>
    </border>
  </borders>
  <cellStyleXfs count="49">
    <xf numFmtId="0" fontId="10" fillId="0" borderId="0" applyAlignment="1">
      <alignment horizontal="left" vertical="center"/>
    </xf>
    <xf numFmtId="0" fontId="24" fillId="0" borderId="0" applyAlignment="1">
      <alignment vertical="top"/>
    </xf>
    <xf numFmtId="0" fontId="18" fillId="0" borderId="0" applyAlignment="1">
      <alignment vertical="top"/>
    </xf>
    <xf numFmtId="0" fontId="19" fillId="2" borderId="0" applyAlignment="1">
      <alignment horizontal="center" vertical="center"/>
    </xf>
    <xf numFmtId="0" fontId="9" fillId="20" borderId="0" applyAlignment="1">
      <alignment horizontal="right" vertical="center" indent="1"/>
    </xf>
    <xf numFmtId="0" fontId="8" fillId="0" borderId="0" applyAlignment="1">
      <alignment horizontal="left" vertical="center" indent="2"/>
    </xf>
    <xf numFmtId="0" fontId="10" fillId="3" borderId="0"/>
    <xf numFmtId="0" fontId="8" fillId="4" borderId="0" applyAlignment="1">
      <alignment horizontal="center" vertical="center"/>
    </xf>
    <xf numFmtId="0" fontId="9" fillId="9" borderId="0"/>
    <xf numFmtId="0" fontId="8" fillId="5" borderId="0"/>
    <xf numFmtId="0" fontId="10" fillId="7" borderId="0"/>
    <xf numFmtId="0" fontId="8" fillId="6" borderId="0"/>
    <xf numFmtId="0" fontId="9" fillId="15" borderId="0"/>
    <xf numFmtId="0" fontId="8" fillId="8" borderId="0"/>
    <xf numFmtId="0" fontId="10" fillId="15" borderId="0"/>
    <xf numFmtId="0" fontId="8" fillId="18" borderId="0"/>
    <xf numFmtId="0" fontId="9" fillId="17" borderId="0"/>
    <xf numFmtId="0" fontId="10" fillId="16" borderId="0"/>
    <xf numFmtId="0" fontId="10" fillId="19" borderId="0"/>
    <xf numFmtId="0" fontId="9" fillId="10" borderId="0"/>
    <xf numFmtId="0" fontId="10" fillId="11" borderId="0"/>
    <xf numFmtId="0" fontId="8" fillId="2" borderId="0"/>
    <xf numFmtId="0" fontId="9" fillId="12" borderId="0" applyAlignment="1">
      <alignment horizontal="left" vertical="center" indent="1"/>
    </xf>
    <xf numFmtId="0" fontId="9" fillId="13" borderId="0"/>
    <xf numFmtId="0" fontId="9" fillId="14" borderId="0"/>
    <xf numFmtId="1" fontId="8" fillId="0" borderId="0" applyAlignment="1">
      <alignment horizontal="center" vertical="center"/>
    </xf>
    <xf numFmtId="0" fontId="8" fillId="0" borderId="0" applyAlignment="1">
      <alignment horizontal="left" vertical="center" wrapText="1" indent="2"/>
    </xf>
    <xf numFmtId="0" fontId="15" fillId="0" borderId="0" applyAlignment="1">
      <alignment horizontal="center"/>
    </xf>
    <xf numFmtId="43" fontId="10" fillId="0" borderId="0" applyAlignment="1">
      <alignment vertical="center"/>
    </xf>
    <xf numFmtId="41" fontId="10" fillId="0" borderId="0" applyAlignment="1">
      <alignment vertical="center"/>
    </xf>
    <xf numFmtId="44" fontId="10" fillId="0" borderId="0" applyAlignment="1">
      <alignment vertical="center"/>
    </xf>
    <xf numFmtId="42" fontId="10" fillId="0" borderId="0" applyAlignment="1">
      <alignment vertical="center"/>
    </xf>
    <xf numFmtId="9" fontId="10" fillId="0" borderId="0" applyAlignment="1">
      <alignment vertical="center"/>
    </xf>
    <xf numFmtId="0" fontId="17" fillId="22" borderId="0" applyAlignment="1">
      <alignment vertical="center"/>
    </xf>
    <xf numFmtId="0" fontId="12" fillId="23" borderId="0" applyAlignment="1">
      <alignment vertical="center"/>
    </xf>
    <xf numFmtId="0" fontId="22" fillId="24" borderId="0" applyAlignment="1">
      <alignment vertical="center"/>
    </xf>
    <xf numFmtId="0" fontId="20" fillId="25" borderId="4" applyAlignment="1">
      <alignment vertical="center"/>
    </xf>
    <xf numFmtId="0" fontId="23" fillId="26" borderId="5" applyAlignment="1">
      <alignment vertical="center"/>
    </xf>
    <xf numFmtId="0" fontId="13" fillId="26" borderId="4" applyAlignment="1">
      <alignment vertical="center"/>
    </xf>
    <xf numFmtId="0" fontId="21" fillId="0" borderId="6" applyAlignment="1">
      <alignment vertical="center"/>
    </xf>
    <xf numFmtId="0" fontId="14" fillId="27" borderId="7" applyAlignment="1">
      <alignment vertical="center"/>
    </xf>
    <xf numFmtId="0" fontId="25" fillId="0" borderId="0" applyAlignment="1">
      <alignment vertical="center"/>
    </xf>
    <xf numFmtId="0" fontId="10" fillId="28" borderId="8" applyAlignment="1">
      <alignment vertical="center"/>
    </xf>
    <xf numFmtId="0" fontId="16" fillId="0" borderId="0" applyAlignment="1">
      <alignment vertical="center"/>
    </xf>
    <xf numFmtId="0" fontId="7" fillId="29" borderId="0" applyAlignment="1">
      <alignment vertical="center"/>
    </xf>
    <xf numFmtId="0" fontId="7" fillId="30" borderId="0" applyAlignment="1">
      <alignment vertical="center"/>
    </xf>
    <xf numFmtId="0" fontId="11" fillId="31" borderId="0" applyAlignment="1">
      <alignment vertical="center"/>
    </xf>
    <xf numFmtId="0" fontId="7" fillId="32" borderId="0" applyAlignment="1">
      <alignment vertical="center"/>
    </xf>
    <xf numFmtId="0" fontId="7" fillId="33" borderId="0" applyAlignment="1">
      <alignment vertical="center"/>
    </xf>
  </cellStyleXfs>
  <cellXfs count="6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8" fillId="0" borderId="0" applyAlignment="1" pivotButton="0" quotePrefix="0" xfId="26">
      <alignment horizontal="left" vertical="center" wrapText="1" indent="2"/>
    </xf>
    <xf numFmtId="1" fontId="8" fillId="0" borderId="0" applyAlignment="1" pivotButton="0" quotePrefix="0" xfId="25">
      <alignment horizontal="center" vertical="center"/>
    </xf>
    <xf numFmtId="164" fontId="0" fillId="0" borderId="0" applyAlignment="1" pivotButton="0" quotePrefix="0" xfId="0">
      <alignment horizontal="center" vertical="center"/>
    </xf>
    <xf numFmtId="0" fontId="0" fillId="0" borderId="0" applyAlignment="1" pivotButton="0" quotePrefix="0" xfId="0">
      <alignment horizontal="left" vertical="center" indent="1"/>
    </xf>
    <xf numFmtId="0" fontId="2" fillId="0" borderId="0" pivotButton="0" quotePrefix="0" xfId="0"/>
    <xf numFmtId="0" fontId="19" fillId="0" borderId="0" applyAlignment="1" pivotButton="0" quotePrefix="0" xfId="3">
      <alignment horizontal="center" vertical="center"/>
    </xf>
    <xf numFmtId="0" fontId="9" fillId="0" borderId="0" applyAlignment="1" pivotButton="0" quotePrefix="0" xfId="4">
      <alignment horizontal="left" vertical="center" indent="1"/>
    </xf>
    <xf numFmtId="0" fontId="0" fillId="0" borderId="1" applyAlignment="1" pivotButton="0" quotePrefix="0" xfId="0">
      <alignment horizontal="left" vertical="center"/>
    </xf>
    <xf numFmtId="0" fontId="24" fillId="0" borderId="2" applyAlignment="1" pivotButton="0" quotePrefix="0" xfId="1">
      <alignment vertical="center"/>
    </xf>
    <xf numFmtId="0" fontId="0" fillId="0" borderId="2" applyAlignment="1" pivotButton="0" quotePrefix="0" xfId="0">
      <alignment horizontal="left" vertical="center"/>
    </xf>
    <xf numFmtId="0" fontId="3" fillId="0" borderId="0" applyAlignment="1" pivotButton="0" quotePrefix="0" xfId="1">
      <alignment horizontal="left" indent="1"/>
    </xf>
    <xf numFmtId="0" fontId="0" fillId="0" borderId="0" applyAlignment="1" pivotButton="0" quotePrefix="0" xfId="0">
      <alignment horizontal="left" wrapText="1" indent="1"/>
    </xf>
    <xf numFmtId="0" fontId="0" fillId="0" borderId="0" applyAlignment="1" pivotButton="0" quotePrefix="0" xfId="0">
      <alignment horizontal="left" indent="1"/>
    </xf>
    <xf numFmtId="0" fontId="0" fillId="0" borderId="3" applyAlignment="1" pivotButton="0" quotePrefix="0" xfId="0">
      <alignment horizontal="left" vertical="center"/>
    </xf>
    <xf numFmtId="0" fontId="8" fillId="0" borderId="0" applyAlignment="1" pivotButton="0" quotePrefix="0" xfId="21">
      <alignment horizontal="left" vertical="center" indent="1"/>
    </xf>
    <xf numFmtId="0" fontId="5" fillId="0" borderId="0" applyAlignment="1" pivotButton="0" quotePrefix="0" xfId="1">
      <alignment horizontal="left" indent="1"/>
    </xf>
    <xf numFmtId="0" fontId="6" fillId="13" borderId="0" applyAlignment="1" pivotButton="0" quotePrefix="0" xfId="23">
      <alignment horizontal="center" vertical="center"/>
    </xf>
    <xf numFmtId="0" fontId="8" fillId="0" borderId="0" applyAlignment="1" pivotButton="0" quotePrefix="0" xfId="21">
      <alignment vertical="center"/>
    </xf>
    <xf numFmtId="0" fontId="6" fillId="35" borderId="0" applyAlignment="1" pivotButton="0" quotePrefix="0" xfId="19">
      <alignment horizontal="center" vertical="center"/>
    </xf>
    <xf numFmtId="0" fontId="27" fillId="36" borderId="0" applyAlignment="1" pivotButton="0" quotePrefix="0" xfId="12">
      <alignment horizontal="center" vertical="center"/>
    </xf>
    <xf numFmtId="164" fontId="4" fillId="34" borderId="0" applyAlignment="1" pivotButton="0" quotePrefix="0" xfId="8">
      <alignment horizontal="center" vertical="center"/>
    </xf>
    <xf numFmtId="0" fontId="28" fillId="0" borderId="0" applyAlignment="1" pivotButton="0" quotePrefix="0" xfId="0">
      <alignment horizontal="left" vertical="center"/>
    </xf>
    <xf numFmtId="0" fontId="0" fillId="0" borderId="0" applyAlignment="1" pivotButton="0" quotePrefix="0" xfId="0">
      <alignment horizontal="left" vertical="center" textRotation="255"/>
    </xf>
    <xf numFmtId="0" fontId="8" fillId="0" borderId="0" applyAlignment="1" pivotButton="0" quotePrefix="0" xfId="0">
      <alignment horizontal="left" vertical="center"/>
    </xf>
    <xf numFmtId="0" fontId="28" fillId="0" borderId="0" applyAlignment="1" pivotButton="0" quotePrefix="0" xfId="0">
      <alignment horizontal="left" vertical="center" textRotation="255" wrapText="1"/>
    </xf>
    <xf numFmtId="0" fontId="8" fillId="0" borderId="0" applyAlignment="1" pivotButton="0" quotePrefix="0" xfId="26">
      <alignment horizontal="left" vertical="center" wrapText="1" indent="2"/>
    </xf>
    <xf numFmtId="0" fontId="0" fillId="0" borderId="0" applyAlignment="1" pivotButton="0" quotePrefix="0" xfId="0">
      <alignment horizontal="center" vertical="center"/>
    </xf>
    <xf numFmtId="1" fontId="8" fillId="0" borderId="0" applyAlignment="1" pivotButton="0" quotePrefix="0" xfId="25">
      <alignment horizontal="center" vertical="center"/>
    </xf>
    <xf numFmtId="0" fontId="0" fillId="0" borderId="0" applyAlignment="1" pivotButton="0" quotePrefix="0" xfId="0">
      <alignment horizontal="center" vertical="center"/>
    </xf>
    <xf numFmtId="0" fontId="28" fillId="0" borderId="9" applyAlignment="1" pivotButton="0" quotePrefix="0" xfId="0">
      <alignment horizontal="center" vertical="center"/>
    </xf>
    <xf numFmtId="0" fontId="28" fillId="21" borderId="11" applyAlignment="1" pivotButton="0" quotePrefix="0" xfId="0">
      <alignment horizontal="center" vertical="center"/>
    </xf>
    <xf numFmtId="0" fontId="0" fillId="0" borderId="0" applyAlignment="1" pivotButton="0" quotePrefix="0" xfId="0">
      <alignment horizontal="center" vertical="center"/>
    </xf>
    <xf numFmtId="164" fontId="0" fillId="0" borderId="0" applyAlignment="1" pivotButton="0" quotePrefix="0" xfId="0">
      <alignment horizontal="center" vertical="center"/>
    </xf>
    <xf numFmtId="0" fontId="28" fillId="21" borderId="0" applyAlignment="1" pivotButton="0" quotePrefix="0" xfId="0">
      <alignment horizontal="center" vertical="center"/>
    </xf>
    <xf numFmtId="0" fontId="1" fillId="0" borderId="0" applyAlignment="1" pivotButton="0" quotePrefix="0" xfId="0">
      <alignment horizontal="center" vertical="center"/>
    </xf>
    <xf numFmtId="1" fontId="0" fillId="0" borderId="0" applyAlignment="1" pivotButton="0" quotePrefix="0" xfId="0">
      <alignment horizontal="center" vertical="center"/>
    </xf>
    <xf numFmtId="0" fontId="19" fillId="0" borderId="0" applyAlignment="1" pivotButton="0" quotePrefix="0" xfId="3">
      <alignment horizontal="left" vertical="center"/>
    </xf>
    <xf numFmtId="0" fontId="8" fillId="0" borderId="0" applyAlignment="1" pivotButton="0" quotePrefix="0" xfId="21">
      <alignment horizontal="left" vertical="center" wrapText="1" indent="1"/>
    </xf>
    <xf numFmtId="0" fontId="8" fillId="0" borderId="0" applyAlignment="1" pivotButton="0" quotePrefix="0" xfId="21">
      <alignment horizontal="left" vertical="center" indent="1"/>
    </xf>
    <xf numFmtId="0" fontId="8" fillId="0" borderId="10" applyAlignment="1" pivotButton="0" quotePrefix="0" xfId="0">
      <alignment horizontal="center" vertical="center"/>
    </xf>
    <xf numFmtId="0" fontId="8" fillId="0" borderId="0" applyAlignment="1" pivotButton="0" quotePrefix="0" xfId="0">
      <alignment horizontal="center" vertical="center"/>
    </xf>
    <xf numFmtId="0" fontId="28" fillId="0" borderId="0" applyAlignment="1" pivotButton="0" quotePrefix="0" xfId="0">
      <alignment horizontal="center" vertical="center"/>
    </xf>
    <xf numFmtId="0" fontId="29" fillId="37" borderId="12" applyAlignment="1" pivotButton="0" quotePrefix="0" xfId="0">
      <alignment horizontal="center" vertical="center"/>
    </xf>
    <xf numFmtId="0" fontId="29" fillId="37" borderId="0" applyAlignment="1" pivotButton="0" quotePrefix="0" xfId="0">
      <alignment horizontal="center" vertical="center"/>
    </xf>
    <xf numFmtId="0" fontId="29" fillId="37" borderId="13" applyAlignment="1" pivotButton="0" quotePrefix="0" xfId="0">
      <alignment horizontal="center" vertical="center"/>
    </xf>
    <xf numFmtId="0" fontId="1" fillId="0" borderId="0" applyAlignment="1" pivotButton="0" quotePrefix="0" xfId="0">
      <alignment horizontal="center" vertical="center"/>
    </xf>
    <xf numFmtId="0" fontId="30" fillId="0" borderId="0" applyAlignment="1" pivotButton="0" quotePrefix="0" xfId="3">
      <alignment horizontal="left" vertical="top"/>
    </xf>
    <xf numFmtId="0" fontId="9" fillId="38" borderId="15" applyAlignment="1" pivotButton="0" quotePrefix="0" xfId="21">
      <alignment horizontal="center" vertical="center"/>
    </xf>
    <xf numFmtId="0" fontId="9" fillId="39" borderId="15" applyAlignment="1" pivotButton="0" quotePrefix="0" xfId="21">
      <alignment horizontal="center" vertical="center"/>
    </xf>
    <xf numFmtId="0" fontId="9" fillId="40" borderId="15" applyAlignment="1" pivotButton="0" quotePrefix="0" xfId="21">
      <alignment horizontal="center" vertical="center"/>
    </xf>
    <xf numFmtId="0" fontId="28" fillId="41" borderId="14" applyAlignment="1" pivotButton="0" quotePrefix="0" xfId="21">
      <alignment horizontal="left" vertical="center" indent="1"/>
    </xf>
    <xf numFmtId="0" fontId="0" fillId="0" borderId="14" applyAlignment="1" pivotButton="0" quotePrefix="0" xfId="0">
      <alignment horizontal="center" vertical="center"/>
    </xf>
    <xf numFmtId="0" fontId="19" fillId="0" borderId="0" applyAlignment="1" pivotButton="0" quotePrefix="0" xfId="3">
      <alignment horizontal="center" vertical="center"/>
    </xf>
    <xf numFmtId="0" fontId="0" fillId="0" borderId="0" pivotButton="0" quotePrefix="0" xfId="0"/>
    <xf numFmtId="164" fontId="4" fillId="34" borderId="0" applyAlignment="1" pivotButton="0" quotePrefix="0" xfId="8">
      <alignment horizontal="center" vertical="center"/>
    </xf>
    <xf numFmtId="0" fontId="29" fillId="37" borderId="16" applyAlignment="1" pivotButton="0" quotePrefix="0" xfId="0">
      <alignment horizontal="center" vertical="center"/>
    </xf>
    <xf numFmtId="0" fontId="0" fillId="0" borderId="13" pivotButton="0" quotePrefix="0" xfId="0"/>
    <xf numFmtId="164" fontId="0" fillId="0" borderId="0" applyAlignment="1" pivotButton="0" quotePrefix="0" xfId="0">
      <alignment horizontal="center" vertical="center"/>
    </xf>
  </cellXfs>
  <cellStyles count="49">
    <cellStyle name="Normal" xfId="0" builtinId="0"/>
    <cellStyle name="Titre" xfId="1" builtinId="15"/>
    <cellStyle name="Titre 1" xfId="2" builtinId="16"/>
    <cellStyle name="Titre 2" xfId="3" builtinId="17"/>
    <cellStyle name="Titre 3" xfId="4" builtinId="18"/>
    <cellStyle name="Titre 4" xfId="5" builtinId="19"/>
    <cellStyle name="Accent4" xfId="6" builtinId="41"/>
    <cellStyle name="20 % - Accent4" xfId="7" builtinId="42"/>
    <cellStyle name="40 % - Accent4" xfId="8" builtinId="43"/>
    <cellStyle name="60 % - Accent4" xfId="9" builtinId="44"/>
    <cellStyle name="Accent6" xfId="10" builtinId="49"/>
    <cellStyle name="20 % - Accent6" xfId="11" builtinId="50"/>
    <cellStyle name="40 % - Accent6" xfId="12" builtinId="51"/>
    <cellStyle name="60 % - Accent6" xfId="13" builtinId="52"/>
    <cellStyle name="Accent1" xfId="14" builtinId="29"/>
    <cellStyle name="20 % - Accent1" xfId="15" builtinId="30"/>
    <cellStyle name="40 % - Accent1" xfId="16" builtinId="31"/>
    <cellStyle name="60 % - Accent1" xfId="17" builtinId="32"/>
    <cellStyle name="Accent2" xfId="18" builtinId="33"/>
    <cellStyle name="40 % - Accent2" xfId="19" builtinId="35"/>
    <cellStyle name="Accent3" xfId="20" builtinId="37"/>
    <cellStyle name="20 % - Accent3" xfId="21" builtinId="38"/>
    <cellStyle name="40 % - Accent3" xfId="22" builtinId="39"/>
    <cellStyle name="60 % - Accent3" xfId="23" builtinId="40"/>
    <cellStyle name="40 % - Accent5" xfId="24" builtinId="47"/>
    <cellStyle name="Total" xfId="25" builtinId="25"/>
    <cellStyle name="Employé" xfId="26"/>
    <cellStyle name="Étiquette" xfId="27"/>
    <cellStyle name="Milliers" xfId="28" builtinId="3"/>
    <cellStyle name="Milliers [0]" xfId="29" builtinId="6"/>
    <cellStyle name="Monétaire" xfId="30" builtinId="4"/>
    <cellStyle name="Monétaire [0]" xfId="31" builtinId="7"/>
    <cellStyle name="Pourcentage" xfId="32" builtinId="5"/>
    <cellStyle name="Satisfaisant" xfId="33" builtinId="26"/>
    <cellStyle name="Insatisfaisant" xfId="34" builtinId="27"/>
    <cellStyle name="Neutre" xfId="35" builtinId="28"/>
    <cellStyle name="Entrée" xfId="36" builtinId="20"/>
    <cellStyle name="Sortie" xfId="37" builtinId="21"/>
    <cellStyle name="Calcul" xfId="38" builtinId="22"/>
    <cellStyle name="Cellule liée" xfId="39" builtinId="24"/>
    <cellStyle name="Vérification" xfId="40" builtinId="23"/>
    <cellStyle name="Avertissement" xfId="41" builtinId="11"/>
    <cellStyle name="Note" xfId="42" builtinId="10"/>
    <cellStyle name="Texte explicatif" xfId="43" builtinId="53"/>
    <cellStyle name="20 % - Accent2" xfId="44" builtinId="34"/>
    <cellStyle name="60 % - Accent2" xfId="45" builtinId="36"/>
    <cellStyle name="Accent5" xfId="46" builtinId="45"/>
    <cellStyle name="20 % - Accent5" xfId="47" builtinId="46"/>
    <cellStyle name="60 % - Accent5" xfId="48" builtinId="48"/>
  </cellStyles>
  <dxfs count="2560">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fill>
        <patternFill>
          <bgColor theme="9" tint="0.3999450666829432"/>
        </patternFill>
      </fill>
      <border>
        <left style="thin">
          <color rgb="FFFF0000"/>
        </left>
        <right style="thin">
          <color rgb="FFFF0000"/>
        </right>
        <top style="thin">
          <color rgb="FFFF0000"/>
        </top>
        <bottom style="thin">
          <color rgb="FFFF0000"/>
        </bottom>
      </border>
    </dxf>
    <dxf>
      <fill>
        <patternFill>
          <bgColor theme="8"/>
        </patternFill>
      </fill>
      <border>
        <left style="thin">
          <color theme="8" tint="-0.249946592608417"/>
        </left>
        <right style="thin">
          <color theme="8" tint="-0.249946592608417"/>
        </right>
        <top style="thin">
          <color theme="8" tint="-0.249946592608417"/>
        </top>
        <bottom style="thin">
          <color theme="8" tint="-0.249946592608417"/>
        </bottom>
        <vertical/>
        <horizontal/>
      </border>
    </dxf>
    <dxf>
      <font>
        <color theme="1"/>
      </font>
      <fill>
        <patternFill>
          <bgColor rgb="FFFFC000"/>
        </patternFill>
      </fill>
    </dxf>
    <dxf>
      <font>
        <color theme="1"/>
      </font>
      <fill>
        <patternFill>
          <bgColor theme="6" tint="0.3999450666829432"/>
        </patternFill>
      </fill>
    </dxf>
    <dxf>
      <font>
        <color theme="1"/>
      </font>
      <fill>
        <patternFill>
          <bgColor rgb="FFFFFF00"/>
        </patternFill>
      </fill>
    </dxf>
    <dxf>
      <font>
        <color theme="1"/>
      </font>
      <fill>
        <patternFill>
          <bgColor rgb="FF92D050"/>
        </patternFill>
      </fill>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border outline="0">
        <left style="medium">
          <color theme="8" tint="-0.249977111117893"/>
        </left>
      </border>
      <protection locked="1" hidden="0"/>
    </dxf>
    <dxf>
      <numFmt numFmtId="166" formatCode="0;0;"/>
      <alignment horizontal="center" vertical="center"/>
    </dxf>
    <dxf>
      <alignment horizontal="center" vertical="center"/>
      <protection locked="1" hidden="0"/>
    </dxf>
    <dxf>
      <numFmt numFmtId="166" formatCode="0;0;"/>
      <alignment horizontal="center" vertical="center"/>
      <border outline="0">
        <left/>
        <right/>
        <top/>
        <bottom/>
      </border>
    </dxf>
    <dxf>
      <alignment horizontal="center" vertical="center"/>
      <border outline="0">
        <right style="medium">
          <color theme="8" tint="-0.249977111117893"/>
        </right>
      </bord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numFmt numFmtId="1" formatCode="0"/>
      <alignment horizontal="center" vertical="center"/>
      <protection locked="1" hidden="0"/>
    </dxf>
    <dxf>
      <numFmt numFmtId="166" formatCode="0;0;"/>
      <alignment horizontal="center" vertical="center"/>
    </dxf>
    <dxf>
      <alignment horizontal="center" vertical="center"/>
      <protection locked="1" hidden="0"/>
    </dxf>
    <dxf>
      <numFmt numFmtId="166" formatCode="0;0;"/>
      <alignment horizontal="center" vertical="center"/>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1" formatCode="0"/>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fill>
        <patternFill>
          <fgColor indexed="64"/>
          <bgColor indexed="65"/>
        </patternFill>
      </fill>
    </dxf>
    <dxf>
      <alignment horizontal="left" vertical="center" indent="1"/>
    </dxf>
    <dxf>
      <numFmt numFmtId="0" formatCode="General"/>
      <fill>
        <patternFill>
          <fgColor indexed="64"/>
          <bgColor indexed="65"/>
        </patternFill>
      </fill>
      <protection locked="1" hidden="0"/>
    </dxf>
    <dxf>
      <alignment horizontal="left" vertical="center" indent="1"/>
    </dxf>
    <dxf>
      <protection locked="1" hidden="0"/>
    </dxf>
    <dxf>
      <protection locked="1" hidden="0"/>
    </dxf>
    <dxf>
      <alignment horizontal="center" vertical="center"/>
    </dxf>
    <dxf>
      <fill>
        <patternFill patternType="solid">
          <bgColor theme="5" tint="0.3999450666829432"/>
        </patternFill>
      </fill>
      <border>
        <left/>
        <right/>
        <top style="thin">
          <color theme="5" tint="0.5999633777886288"/>
        </top>
        <bottom style="thick">
          <color theme="5"/>
        </bottom>
        <vertical style="thick">
          <color theme="0"/>
        </vertical>
        <horizontal style="thin">
          <color theme="5" tint="0.5999633777886288"/>
        </horizontal>
      </border>
    </dxf>
    <dxf>
      <font>
        <color theme="1"/>
      </font>
      <fill>
        <patternFill patternType="solid">
          <bgColor theme="5" tint="0.3999450666829432"/>
        </patternFill>
      </fill>
      <border>
        <left/>
        <right/>
        <top style="thin">
          <color theme="5" tint="0.5999633777886288"/>
        </top>
        <bottom style="thick">
          <color theme="5"/>
        </bottom>
        <vertical style="thick">
          <color theme="0"/>
        </vertical>
        <horizontal style="thin">
          <color theme="5" tint="0.5999633777886288"/>
        </horizontal>
      </border>
    </dxf>
    <dxf>
      <font>
        <color theme="1"/>
      </font>
      <fill>
        <patternFill patternType="solid">
          <bgColor theme="2"/>
        </patternFill>
      </fill>
      <border>
        <left/>
        <right/>
        <top/>
        <bottom style="thin">
          <color theme="0" tint="-0.1499679555650502"/>
        </bottom>
        <vertical/>
        <horizontal/>
      </border>
    </dxf>
    <dxf>
      <font>
        <color theme="1"/>
      </font>
      <fill>
        <patternFill>
          <bgColor auto="1"/>
        </patternFill>
      </fill>
      <border>
        <left/>
        <right/>
        <top style="thin">
          <color theme="0" tint="-0.1499679555650502"/>
        </top>
        <bottom style="thin">
          <color theme="0" tint="-0.1499374370555742"/>
        </bottom>
        <vertical/>
        <horizontal/>
      </border>
    </dxf>
    <dxf>
      <fill>
        <patternFill>
          <bgColor theme="0" tint="-0.1499679555650502"/>
        </patternFill>
      </fill>
      <border>
        <left style="thin">
          <color theme="0"/>
        </left>
        <right style="thin">
          <color theme="0"/>
        </right>
        <vertical style="thin">
          <color theme="0"/>
        </vertical>
      </border>
    </dxf>
    <dxf>
      <fill>
        <patternFill>
          <bgColor theme="0" tint="-0.0499893185216834"/>
        </patternFill>
      </fill>
      <border>
        <left style="thin">
          <color theme="0"/>
        </left>
        <right style="thin">
          <color theme="0"/>
        </right>
        <top style="thick">
          <color theme="5" tint="0.5999633777886288"/>
        </top>
        <bottom style="thick">
          <color theme="5" tint="0.5999633777886288"/>
        </bottom>
        <vertical style="thin">
          <color theme="0"/>
        </vertical>
        <horizontal style="thick">
          <color theme="5" tint="0.5999633777886288"/>
        </horizontal>
      </border>
    </dxf>
    <dxf>
      <fill>
        <patternFill>
          <bgColor theme="5" tint="0.7999816888943144"/>
        </patternFill>
      </fill>
      <border>
        <top style="thick">
          <color theme="0"/>
        </top>
        <bottom style="thick">
          <color theme="0"/>
        </bottom>
        <horizontal style="thick">
          <color theme="0"/>
        </horizontal>
      </border>
    </dxf>
    <dxf>
      <fill>
        <patternFill>
          <fgColor auto="1"/>
          <bgColor auto="1"/>
        </patternFill>
      </fill>
      <border>
        <top style="thick">
          <color theme="0"/>
        </top>
        <bottom style="thick">
          <color theme="0"/>
        </bottom>
        <horizontal style="thick">
          <color theme="0"/>
        </horizontal>
      </border>
    </dxf>
    <dxf>
      <font>
        <b val="1"/>
        <color theme="1"/>
      </font>
      <fill>
        <patternFill>
          <bgColor auto="1"/>
        </patternFill>
      </fill>
      <border>
        <left/>
        <right/>
        <top style="thin">
          <color theme="5" tint="0.5999633777886288"/>
        </top>
        <bottom style="thin">
          <color theme="5" tint="0.5999633777886288"/>
        </bottom>
        <vertical/>
        <horizontal style="thin">
          <color theme="5" tint="0.5999633777886288"/>
        </horizontal>
      </border>
    </dxf>
    <dxf>
      <font>
        <color theme="1"/>
      </font>
      <fill>
        <patternFill>
          <bgColor auto="1"/>
        </patternFill>
      </fill>
      <border>
        <left/>
        <right/>
        <top style="thin">
          <color theme="5" tint="0.5999633777886288"/>
        </top>
        <bottom style="thin">
          <color theme="5" tint="0.5999633777886288"/>
        </bottom>
        <vertical/>
        <horizontal style="thin">
          <color theme="5" tint="0.5999633777886288"/>
        </horizontal>
      </border>
    </dxf>
    <dxf>
      <font>
        <color theme="1"/>
      </font>
      <fill>
        <patternFill>
          <bgColor theme="5" tint="0.3999450666829432"/>
        </patternFill>
      </fill>
      <border>
        <left style="thin">
          <color theme="0"/>
        </left>
        <right style="thin">
          <color theme="0"/>
        </right>
        <top style="thick">
          <color theme="0"/>
        </top>
        <bottom style="thick">
          <color theme="5"/>
        </bottom>
        <vertical style="thick">
          <color theme="0"/>
        </vertical>
        <horizontal/>
      </border>
    </dxf>
    <dxf>
      <font>
        <color theme="0"/>
      </font>
      <fill>
        <patternFill>
          <bgColor theme="5" tint="-0.249946592608417"/>
        </patternFill>
      </fill>
      <border>
        <top style="thin">
          <color theme="5" tint="0.5999633777886288"/>
        </top>
        <bottom style="thin">
          <color theme="5" tint="0.5999633777886288"/>
        </bottom>
        <horizontal style="thin">
          <color theme="5" tint="0.5999633777886288"/>
        </horizontal>
      </border>
    </dxf>
    <dxf>
      <font>
        <b val="1"/>
        <color theme="0"/>
      </font>
      <border>
        <left/>
        <right/>
        <top/>
        <bottom style="thick">
          <color theme="0"/>
        </bottom>
        <vertical style="thick">
          <color theme="0"/>
        </vertical>
        <horizontal style="thick">
          <color theme="0"/>
        </horizontal>
      </border>
    </dxf>
    <dxf>
      <fill>
        <patternFill patternType="solid">
          <fgColor theme="5" tint="0.3999450666829432"/>
          <bgColor theme="5" tint="0.3999145481734672"/>
        </patternFill>
      </fill>
      <border>
        <left/>
        <right/>
        <top style="thin">
          <color theme="5" tint="0.5999633777886288"/>
        </top>
        <bottom style="thick">
          <color theme="5"/>
        </bottom>
        <vertical style="thick">
          <color theme="0"/>
        </vertical>
        <horizontal style="thin">
          <color theme="5" tint="0.5999633777886288"/>
        </horizontal>
      </border>
    </dxf>
    <dxf>
      <font>
        <color theme="1"/>
      </font>
      <fill>
        <patternFill patternType="solid">
          <fgColor theme="5" tint="0.3999450666829432"/>
          <bgColor theme="5" tint="0.3999145481734672"/>
        </patternFill>
      </fill>
      <border>
        <left/>
        <right/>
        <top style="thin">
          <color theme="5" tint="0.5999633777886288"/>
        </top>
        <bottom style="thick">
          <color theme="5"/>
        </bottom>
        <vertical style="thick">
          <color theme="0"/>
        </vertical>
        <horizontal style="thin">
          <color theme="5" tint="0.5999633777886288"/>
        </horizontal>
      </border>
    </dxf>
    <dxf>
      <font>
        <color auto="1"/>
      </font>
      <fill>
        <patternFill>
          <bgColor auto="1"/>
        </patternFill>
      </fill>
      <border>
        <left/>
        <right/>
        <top style="thin">
          <color theme="5" tint="0.5999633777886288"/>
        </top>
        <bottom style="thin">
          <color theme="5" tint="0.5999633777886288"/>
        </bottom>
        <vertical/>
        <horizontal style="thin">
          <color theme="5" tint="0.5999633777886288"/>
        </horizontal>
      </border>
    </dxf>
    <dxf>
      <font>
        <color auto="1"/>
      </font>
      <fill>
        <patternFill>
          <bgColor auto="1"/>
        </patternFill>
      </fill>
      <border>
        <left/>
        <right/>
        <top style="thin">
          <color theme="5" tint="0.5999633777886288"/>
        </top>
        <bottom style="thin">
          <color theme="5" tint="0.5999633777886288"/>
        </bottom>
        <vertical/>
        <horizontal style="thin">
          <color theme="5" tint="0.5999633777886288"/>
        </horizontal>
      </border>
    </dxf>
    <dxf>
      <fill>
        <patternFill>
          <bgColor theme="5" tint="0.7999816888943144"/>
        </patternFill>
      </fill>
      <border>
        <top style="thick">
          <color theme="0"/>
        </top>
        <bottom style="thick">
          <color theme="0"/>
        </bottom>
        <horizontal style="thick">
          <color theme="0"/>
        </horizontal>
      </border>
    </dxf>
    <dxf>
      <fill>
        <patternFill>
          <fgColor auto="1"/>
          <bgColor auto="1"/>
        </patternFill>
      </fill>
      <border>
        <top style="thick">
          <color theme="0"/>
        </top>
        <bottom style="thick">
          <color theme="0"/>
        </bottom>
        <horizontal style="thick">
          <color theme="0"/>
        </horizontal>
      </border>
    </dxf>
    <dxf>
      <font>
        <color auto="1"/>
      </font>
      <fill>
        <patternFill>
          <fgColor theme="5" tint="0.3999450666829432"/>
          <bgColor theme="5" tint="0.3999145481734672"/>
        </patternFill>
      </fill>
      <border>
        <left style="thin">
          <color theme="0"/>
        </left>
        <right style="thin">
          <color theme="0"/>
        </right>
        <top style="thin">
          <color theme="5" tint="0.5999633777886288"/>
        </top>
        <bottom style="thick">
          <color theme="5"/>
        </bottom>
        <vertical style="thick">
          <color theme="0"/>
        </vertical>
        <horizontal style="thin">
          <color theme="5" tint="0.5999633777886288"/>
        </horizontal>
      </border>
    </dxf>
    <dxf>
      <font>
        <color theme="0"/>
      </font>
      <fill>
        <patternFill>
          <fgColor theme="5" tint="-0.249946592608417"/>
          <bgColor theme="5" tint="-0.249946592608417"/>
        </patternFill>
      </fill>
      <border>
        <top style="thin">
          <color theme="5" tint="0.5999633777886288"/>
        </top>
        <bottom style="thin">
          <color theme="5" tint="0.5999633777886288"/>
        </bottom>
        <horizontal style="thin">
          <color theme="5" tint="0.5999633777886288"/>
        </horizontal>
      </border>
    </dxf>
    <dxf>
      <font>
        <b val="1"/>
        <color auto="1"/>
      </font>
      <border>
        <left style="thin">
          <color theme="0"/>
        </left>
        <right/>
        <top style="thin">
          <color theme="0"/>
        </top>
        <bottom style="thin">
          <color theme="0"/>
        </bottom>
        <vertical style="thick">
          <color theme="0"/>
        </vertical>
        <horizontal style="thick">
          <color theme="0"/>
        </horizontal>
      </border>
    </dxf>
  </dxfs>
  <tableStyles count="2" defaultTableStyle="TableStyleMedium9" defaultPivotStyle="PivotStyleLight16">
    <tableStyle name="Tableau des absences des employés" pivot="0" count="9">
      <tableStyleElement type="wholeTable" dxfId="2559"/>
      <tableStyleElement type="headerRow" dxfId="2558"/>
      <tableStyleElement type="totalRow" dxfId="2557"/>
      <tableStyleElement type="firstRowStripe" dxfId="2556"/>
      <tableStyleElement type="secondRowStripe" dxfId="2555"/>
      <tableStyleElement type="firstHeaderCell" dxfId="2554"/>
      <tableStyleElement type="lastHeaderCell" dxfId="2553"/>
      <tableStyleElement type="firstTotalCell" dxfId="2552"/>
      <tableStyleElement type="lastTotalCell" dxfId="2551"/>
    </tableStyle>
    <tableStyle name="Tableau des absences des employés 2" pivot="0" count="13">
      <tableStyleElement type="wholeTable" dxfId="2550"/>
      <tableStyleElement type="headerRow" dxfId="2549"/>
      <tableStyleElement type="totalRow" dxfId="2548"/>
      <tableStyleElement type="firstColumn" dxfId="2547"/>
      <tableStyleElement type="lastColumn" dxfId="2546"/>
      <tableStyleElement type="firstRowStripe" dxfId="2545"/>
      <tableStyleElement type="secondRowStripe" dxfId="2544"/>
      <tableStyleElement type="firstColumnStripe" dxfId="2543"/>
      <tableStyleElement type="secondColumnStripe" dxfId="2542"/>
      <tableStyleElement type="firstHeaderCell" dxfId="2541"/>
      <tableStyleElement type="lastHeaderCell" dxfId="2540"/>
      <tableStyleElement type="firstTotalCell" dxfId="2539"/>
      <tableStyleElement type="lastTotalCell" dxfId="25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Juin2" displayName="Juin2" ref="B10:CR17" headerRowCount="1" totalsRowCount="1" headerRowDxfId="2537" dataDxfId="2536" totalsRowDxfId="2535">
  <tableColumns count="95">
    <tableColumn id="1" name="Nom de la star" totalsRowFunction="custom" dataDxfId="2533" totalsRowDxfId="2534" dataCellStyle="Employé">
      <totalsRowFormula>NomMois&amp;" total"</totalsRowFormula>
    </tableColumn>
    <tableColumn id="97" name="Colonne1" dataDxfId="2531" totalsRowDxfId="2532" dataCellStyle="Employé"/>
    <tableColumn id="98" name="Colonne2" dataDxfId="2529" totalsRowDxfId="2530" dataCellStyle="Employé"/>
    <tableColumn id="99" name="Colonne3" dataDxfId="2527" totalsRowDxfId="2528" dataCellStyle="Employé"/>
    <tableColumn id="100" name="Colonne4" dataDxfId="2525" totalsRowDxfId="2526" dataCellStyle="Employé"/>
    <tableColumn id="101" name="Colonne5" dataDxfId="2523" totalsRowDxfId="2524" dataCellStyle="Employé"/>
    <tableColumn id="102" name="Colonne6" dataDxfId="2521" totalsRowDxfId="2522" dataCellStyle="Employé"/>
    <tableColumn id="103" name="Colonne7" dataDxfId="2519" totalsRowDxfId="2520" dataCellStyle="Employé"/>
    <tableColumn id="104" name="Colonne8" dataDxfId="2517" totalsRowDxfId="2518" dataCellStyle="Employé"/>
    <tableColumn id="105" name="Colonne9" dataDxfId="2515" totalsRowDxfId="2516" dataCellStyle="Employé"/>
    <tableColumn id="106" name="Colonne10" dataDxfId="2513" totalsRowDxfId="2514" dataCellStyle="Employé"/>
    <tableColumn id="107" name="Colonne11" dataDxfId="2511" totalsRowDxfId="2512" dataCellStyle="Employé"/>
    <tableColumn id="108" name="Colonne12" dataDxfId="2509" totalsRowDxfId="2510" dataCellStyle="Employé"/>
    <tableColumn id="109" name="Colonne13" dataDxfId="2507" totalsRowDxfId="2508" dataCellStyle="Employé"/>
    <tableColumn id="110" name="Colonne14" dataDxfId="2505" totalsRowDxfId="2506" dataCellStyle="Employé"/>
    <tableColumn id="111" name="Colonne15" dataDxfId="2503" totalsRowDxfId="2504" dataCellStyle="Employé"/>
    <tableColumn id="112" name="Colonne16" dataDxfId="2501" totalsRowDxfId="2502" dataCellStyle="Employé"/>
    <tableColumn id="113" name="Colonne17" dataDxfId="2499" totalsRowDxfId="2500" dataCellStyle="Employé"/>
    <tableColumn id="114" name="Colonne18" dataDxfId="2497" totalsRowDxfId="2498" dataCellStyle="Employé"/>
    <tableColumn id="115" name="Colonne19" dataDxfId="2495" totalsRowDxfId="2496" dataCellStyle="Employé"/>
    <tableColumn id="116" name="Colonne20" dataDxfId="2493" totalsRowDxfId="2494" dataCellStyle="Employé"/>
    <tableColumn id="117" name="Colonne21" dataDxfId="2491" totalsRowDxfId="2492" dataCellStyle="Employé"/>
    <tableColumn id="118" name="Colonne22" dataDxfId="2489" totalsRowDxfId="2490" dataCellStyle="Employé"/>
    <tableColumn id="119" name="Colonne23" dataDxfId="2487" totalsRowDxfId="2488" dataCellStyle="Employé"/>
    <tableColumn id="120" name="Colonne24" dataDxfId="2485" totalsRowDxfId="2486" dataCellStyle="Employé"/>
    <tableColumn id="121" name="Colonne25" dataDxfId="2483" totalsRowDxfId="2484" dataCellStyle="Employé"/>
    <tableColumn id="122" name="Colonne26" dataDxfId="2481" totalsRowDxfId="2482" dataCellStyle="Employé"/>
    <tableColumn id="123" name="Colonne27" dataDxfId="2479" totalsRowDxfId="2480" dataCellStyle="Employé"/>
    <tableColumn id="124" name="Colonne28" dataDxfId="2477" totalsRowDxfId="2478" dataCellStyle="Employé"/>
    <tableColumn id="125" name="Colonne29" dataDxfId="2475" totalsRowDxfId="2476" dataCellStyle="Employé"/>
    <tableColumn id="126" name="Colonne30" dataDxfId="2473" totalsRowDxfId="2474" dataCellStyle="Employé"/>
    <tableColumn id="127" name="Colonne31" dataDxfId="2471" totalsRowDxfId="2472" dataCellStyle="Employé"/>
    <tableColumn id="66" name="Colonne312" dataDxfId="2469" totalsRowDxfId="2470" dataCellStyle="Employé"/>
    <tableColumn id="67" name="Colonne313" dataDxfId="2467" totalsRowDxfId="2468" dataCellStyle="Employé"/>
    <tableColumn id="68" name="Colonne314" dataDxfId="2465" totalsRowDxfId="2466" dataCellStyle="Employé"/>
    <tableColumn id="69" name="Colonne315" dataDxfId="2463" totalsRowDxfId="2464" dataCellStyle="Employé"/>
    <tableColumn id="70" name="Colonne316" dataDxfId="2461" totalsRowDxfId="2462" dataCellStyle="Employé"/>
    <tableColumn id="71" name="Colonne317" dataDxfId="2459" totalsRowDxfId="2460" dataCellStyle="Employé"/>
    <tableColumn id="72" name="Colonne318" dataDxfId="2457" totalsRowDxfId="2458" dataCellStyle="Employé"/>
    <tableColumn id="73" name="Colonne319" dataDxfId="2455" totalsRowDxfId="2456" dataCellStyle="Employé"/>
    <tableColumn id="74" name="Colonne320" dataDxfId="2453" totalsRowDxfId="2454" dataCellStyle="Employé"/>
    <tableColumn id="75" name="Colonne321" dataDxfId="2451" totalsRowDxfId="2452" dataCellStyle="Employé"/>
    <tableColumn id="76" name="Colonne322" dataDxfId="2449" totalsRowDxfId="2450" dataCellStyle="Employé"/>
    <tableColumn id="77" name="Colonne323" dataDxfId="2447" totalsRowDxfId="2448" dataCellStyle="Employé"/>
    <tableColumn id="78" name="Colonne324" dataDxfId="2445" totalsRowDxfId="2446" dataCellStyle="Employé"/>
    <tableColumn id="79" name="Colonne325" dataDxfId="2443" totalsRowDxfId="2444" dataCellStyle="Employé"/>
    <tableColumn id="80" name="Colonne326" dataDxfId="2441" totalsRowDxfId="2442" dataCellStyle="Employé"/>
    <tableColumn id="81" name="Colonne327" dataDxfId="2439" totalsRowDxfId="2440" dataCellStyle="Employé"/>
    <tableColumn id="82" name="Colonne328" dataDxfId="2437" totalsRowDxfId="2438" dataCellStyle="Employé"/>
    <tableColumn id="83" name="Colonne329" dataDxfId="2435" totalsRowDxfId="2436" dataCellStyle="Employé"/>
    <tableColumn id="84" name="Colonne330" dataDxfId="2433" totalsRowDxfId="2434" dataCellStyle="Employé"/>
    <tableColumn id="85" name="Colonne331" dataDxfId="2431" totalsRowDxfId="2432" dataCellStyle="Employé"/>
    <tableColumn id="86" name="Colonne332" dataDxfId="2429" totalsRowDxfId="2430" dataCellStyle="Employé"/>
    <tableColumn id="87" name="Colonne333" dataDxfId="2427" totalsRowDxfId="2428" dataCellStyle="Employé"/>
    <tableColumn id="88" name="Colonne334" dataDxfId="2425" totalsRowDxfId="2426" dataCellStyle="Employé"/>
    <tableColumn id="89" name="Colonne335" dataDxfId="2423" totalsRowDxfId="2424" dataCellStyle="Employé"/>
    <tableColumn id="90" name="Colonne336" dataDxfId="2421" totalsRowDxfId="2422" dataCellStyle="Employé"/>
    <tableColumn id="91" name="Colonne337" dataDxfId="2419" totalsRowDxfId="2420" dataCellStyle="Employé"/>
    <tableColumn id="92" name="Colonne338" dataDxfId="2417" totalsRowDxfId="2418" dataCellStyle="Employé"/>
    <tableColumn id="93" name="Colonne339" dataDxfId="2415" totalsRowDxfId="2416" dataCellStyle="Employé"/>
    <tableColumn id="94" name="Colonne340" dataDxfId="2413" totalsRowDxfId="2414" dataCellStyle="Employé"/>
    <tableColumn id="95" name="Colonne341" dataDxfId="2411" totalsRowDxfId="2412" dataCellStyle="Employé"/>
    <tableColumn id="96" name="Colonne342" dataDxfId="2409" totalsRowDxfId="2410" dataCellStyle="Employé"/>
    <tableColumn id="2" name="Colonne343" totalsRowFunction="count" dataDxfId="2407" totalsRowDxfId="2408"/>
    <tableColumn id="3" name="Colonne344" totalsRowFunction="count" dataDxfId="2405" totalsRowDxfId="2406"/>
    <tableColumn id="4" name="Colonne345" totalsRowFunction="count" dataDxfId="2403" totalsRowDxfId="2404"/>
    <tableColumn id="5" name="Colonne346" totalsRowFunction="count" dataDxfId="2401" totalsRowDxfId="2402"/>
    <tableColumn id="6" name="Colonne347" totalsRowFunction="count" dataDxfId="2399" totalsRowDxfId="2400"/>
    <tableColumn id="7" name="Colonne348" totalsRowFunction="count" dataDxfId="2397" totalsRowDxfId="2398"/>
    <tableColumn id="8" name="Colonne349" totalsRowFunction="count" dataDxfId="2395" totalsRowDxfId="2396"/>
    <tableColumn id="9" name="Colonne350" totalsRowFunction="count" dataDxfId="2393" totalsRowDxfId="2394"/>
    <tableColumn id="10" name="Colonne351" totalsRowFunction="count" dataDxfId="2391" totalsRowDxfId="2392"/>
    <tableColumn id="11" name="Colonne352" totalsRowFunction="count" dataDxfId="2389" totalsRowDxfId="2390"/>
    <tableColumn id="12" name="Colonne353" totalsRowFunction="count" dataDxfId="2387" totalsRowDxfId="2388"/>
    <tableColumn id="13" name="Colonne354" totalsRowFunction="count" dataDxfId="2385" totalsRowDxfId="2386"/>
    <tableColumn id="14" name="Colonne355" totalsRowFunction="count" dataDxfId="2383" totalsRowDxfId="2384"/>
    <tableColumn id="15" name="Colonne356" totalsRowFunction="count" dataDxfId="2381" totalsRowDxfId="2382"/>
    <tableColumn id="16" name="Colonne357" totalsRowFunction="count" dataDxfId="2379" totalsRowDxfId="2380"/>
    <tableColumn id="17" name="Colonne358" totalsRowFunction="count" dataDxfId="2377" totalsRowDxfId="2378"/>
    <tableColumn id="18" name="Colonne359" totalsRowFunction="count" dataDxfId="2375" totalsRowDxfId="2376"/>
    <tableColumn id="19" name="Colonne360" totalsRowFunction="count" dataDxfId="2373" totalsRowDxfId="2374"/>
    <tableColumn id="20" name="Colonne361" totalsRowFunction="count" dataDxfId="2371" totalsRowDxfId="2372"/>
    <tableColumn id="21" name="Colonne362" totalsRowFunction="count" dataDxfId="2369" totalsRowDxfId="2370"/>
    <tableColumn id="22" name="Colonne363" totalsRowFunction="count" dataDxfId="2367" totalsRowDxfId="2368"/>
    <tableColumn id="23" name="Colonne364" totalsRowFunction="count" dataDxfId="2365" totalsRowDxfId="2366"/>
    <tableColumn id="24" name="Colonne365" totalsRowFunction="count" dataDxfId="2363" totalsRowDxfId="2364"/>
    <tableColumn id="25" name="Colonne366" totalsRowFunction="count" dataDxfId="2361" totalsRowDxfId="2362"/>
    <tableColumn id="26" name="Colonne367" totalsRowFunction="count" dataDxfId="2359" totalsRowDxfId="2360"/>
    <tableColumn id="27" name="Colonne368" totalsRowFunction="count" dataDxfId="2357" totalsRowDxfId="2358"/>
    <tableColumn id="28" name="Colonne369" totalsRowFunction="count" dataDxfId="2355" totalsRowDxfId="2356"/>
    <tableColumn id="29" name="Colonne370" totalsRowFunction="count" dataDxfId="2353" totalsRowDxfId="2354"/>
    <tableColumn id="30" name="Colonne371" totalsRowFunction="count" dataDxfId="2351" totalsRowDxfId="2352"/>
    <tableColumn id="31" name="Colonne372" totalsRowFunction="sum" dataDxfId="2349" totalsRowDxfId="2350"/>
    <tableColumn id="32" name="Colonne373" totalsRowFunction="sum" dataDxfId="2347" totalsRowDxfId="2348" dataCellStyle="Total"/>
    <tableColumn id="33" name="Colonne32" totalsRowFunction="sum" dataDxfId="2345" totalsRowDxfId="2346" dataCellStyle="Total">
      <calculatedColumnFormula>COUNTA(Juin2[[#This Row],[Colonne343]:[Colonne373]])</calculatedColumnFormula>
    </tableColumn>
  </tableColumns>
  <tableStyleInfo name="Tableau des absences des employés" showFirstColumn="1" showLastColumn="1" showRowStripes="1" showColumnStripes="0"/>
</table>
</file>

<file path=xl/tables/table2.xml><?xml version="1.0" encoding="utf-8"?>
<table xmlns="http://schemas.openxmlformats.org/spreadsheetml/2006/main" id="2" name="Juin23" displayName="Juin23" ref="B10:CR17" headerRowCount="1" totalsRowCount="1" headerRowDxfId="2344" dataDxfId="2343" totalsRowDxfId="2342">
  <tableColumns count="95">
    <tableColumn id="1" name="Nom de la star" totalsRowFunction="custom" dataDxfId="2340" totalsRowDxfId="2341" dataCellStyle="Employé">
      <totalsRowFormula>NomMois&amp;" total"</totalsRowFormula>
    </tableColumn>
    <tableColumn id="97" name="Colonne1" dataDxfId="2338" totalsRowDxfId="2339" dataCellStyle="Employé"/>
    <tableColumn id="98" name="Colonne2" dataDxfId="2336" totalsRowDxfId="2337" dataCellStyle="Employé"/>
    <tableColumn id="99" name="Colonne3" dataDxfId="2334" totalsRowDxfId="2335" dataCellStyle="Employé"/>
    <tableColumn id="100" name="Colonne4" dataDxfId="2332" totalsRowDxfId="2333" dataCellStyle="Employé"/>
    <tableColumn id="101" name="Colonne5" dataDxfId="2330" totalsRowDxfId="2331" dataCellStyle="Employé"/>
    <tableColumn id="102" name="Colonne6" dataDxfId="2328" totalsRowDxfId="2329" dataCellStyle="Employé"/>
    <tableColumn id="103" name="Colonne7" dataDxfId="2326" totalsRowDxfId="2327" dataCellStyle="Employé"/>
    <tableColumn id="104" name="Colonne8" dataDxfId="2324" totalsRowDxfId="2325" dataCellStyle="Employé"/>
    <tableColumn id="105" name="Colonne9" dataDxfId="2322" totalsRowDxfId="2323" dataCellStyle="Employé"/>
    <tableColumn id="106" name="Colonne10" dataDxfId="2320" totalsRowDxfId="2321" dataCellStyle="Employé"/>
    <tableColumn id="107" name="Colonne11" dataDxfId="2318" totalsRowDxfId="2319" dataCellStyle="Employé"/>
    <tableColumn id="108" name="Colonne12" dataDxfId="2316" totalsRowDxfId="2317" dataCellStyle="Employé"/>
    <tableColumn id="109" name="Colonne13" dataDxfId="2314" totalsRowDxfId="2315" dataCellStyle="Employé"/>
    <tableColumn id="110" name="Colonne14" dataDxfId="2312" totalsRowDxfId="2313" dataCellStyle="Employé"/>
    <tableColumn id="111" name="Colonne15" dataDxfId="2310" totalsRowDxfId="2311" dataCellStyle="Employé"/>
    <tableColumn id="112" name="Colonne16" dataDxfId="2308" totalsRowDxfId="2309" dataCellStyle="Employé"/>
    <tableColumn id="113" name="Colonne17" dataDxfId="2306" totalsRowDxfId="2307" dataCellStyle="Employé"/>
    <tableColumn id="114" name="Colonne18" dataDxfId="2304" totalsRowDxfId="2305" dataCellStyle="Employé"/>
    <tableColumn id="115" name="Colonne19" dataDxfId="2302" totalsRowDxfId="2303" dataCellStyle="Employé"/>
    <tableColumn id="116" name="Colonne20" dataDxfId="2300" totalsRowDxfId="2301" dataCellStyle="Employé"/>
    <tableColumn id="117" name="Colonne21" dataDxfId="2298" totalsRowDxfId="2299" dataCellStyle="Employé"/>
    <tableColumn id="118" name="Colonne22" dataDxfId="2296" totalsRowDxfId="2297" dataCellStyle="Employé"/>
    <tableColumn id="119" name="Colonne23" dataDxfId="2294" totalsRowDxfId="2295" dataCellStyle="Employé"/>
    <tableColumn id="120" name="Colonne24" dataDxfId="2292" totalsRowDxfId="2293" dataCellStyle="Employé"/>
    <tableColumn id="121" name="Colonne25" dataDxfId="2290" totalsRowDxfId="2291" dataCellStyle="Employé"/>
    <tableColumn id="122" name="Colonne26" dataDxfId="2288" totalsRowDxfId="2289" dataCellStyle="Employé"/>
    <tableColumn id="123" name="Colonne27" dataDxfId="2286" totalsRowDxfId="2287" dataCellStyle="Employé"/>
    <tableColumn id="124" name="Colonne28" dataDxfId="2284" totalsRowDxfId="2285" dataCellStyle="Employé"/>
    <tableColumn id="125" name="Colonne29" dataDxfId="2282" totalsRowDxfId="2283" dataCellStyle="Employé"/>
    <tableColumn id="126" name="Colonne30" dataDxfId="2280" totalsRowDxfId="2281" dataCellStyle="Employé"/>
    <tableColumn id="127" name="Colonne31" dataDxfId="2278" totalsRowDxfId="2279" dataCellStyle="Employé"/>
    <tableColumn id="66" name="Colonne312" dataDxfId="2276" totalsRowDxfId="2277" dataCellStyle="Employé"/>
    <tableColumn id="67" name="Colonne313" dataDxfId="2274" totalsRowDxfId="2275" dataCellStyle="Employé"/>
    <tableColumn id="68" name="Colonne314" dataDxfId="2272" totalsRowDxfId="2273" dataCellStyle="Employé"/>
    <tableColumn id="69" name="Colonne315" dataDxfId="2270" totalsRowDxfId="2271" dataCellStyle="Employé"/>
    <tableColumn id="70" name="Colonne316" dataDxfId="2268" totalsRowDxfId="2269" dataCellStyle="Employé"/>
    <tableColumn id="71" name="Colonne317" dataDxfId="2266" totalsRowDxfId="2267" dataCellStyle="Employé"/>
    <tableColumn id="72" name="Colonne318" dataDxfId="2264" totalsRowDxfId="2265" dataCellStyle="Employé"/>
    <tableColumn id="73" name="Colonne319" dataDxfId="2262" totalsRowDxfId="2263" dataCellStyle="Employé"/>
    <tableColumn id="74" name="Colonne320" dataDxfId="2260" totalsRowDxfId="2261" dataCellStyle="Employé"/>
    <tableColumn id="75" name="Colonne321" dataDxfId="2258" totalsRowDxfId="2259" dataCellStyle="Employé"/>
    <tableColumn id="76" name="Colonne322" dataDxfId="2256" totalsRowDxfId="2257" dataCellStyle="Employé"/>
    <tableColumn id="77" name="Colonne323" dataDxfId="2254" totalsRowDxfId="2255" dataCellStyle="Employé"/>
    <tableColumn id="78" name="Colonne324" dataDxfId="2252" totalsRowDxfId="2253" dataCellStyle="Employé"/>
    <tableColumn id="79" name="Colonne325" dataDxfId="2250" totalsRowDxfId="2251" dataCellStyle="Employé"/>
    <tableColumn id="80" name="Colonne326" dataDxfId="2248" totalsRowDxfId="2249" dataCellStyle="Employé"/>
    <tableColumn id="81" name="Colonne327" dataDxfId="2246" totalsRowDxfId="2247" dataCellStyle="Employé"/>
    <tableColumn id="82" name="Colonne328" dataDxfId="2244" totalsRowDxfId="2245" dataCellStyle="Employé"/>
    <tableColumn id="83" name="Colonne329" dataDxfId="2242" totalsRowDxfId="2243" dataCellStyle="Employé"/>
    <tableColumn id="84" name="Colonne330" dataDxfId="2240" totalsRowDxfId="2241" dataCellStyle="Employé"/>
    <tableColumn id="85" name="Colonne331" dataDxfId="2238" totalsRowDxfId="2239" dataCellStyle="Employé"/>
    <tableColumn id="86" name="Colonne332" dataDxfId="2236" totalsRowDxfId="2237" dataCellStyle="Employé"/>
    <tableColumn id="87" name="Colonne333" dataDxfId="2234" totalsRowDxfId="2235" dataCellStyle="Employé"/>
    <tableColumn id="88" name="Colonne334" dataDxfId="2232" totalsRowDxfId="2233" dataCellStyle="Employé"/>
    <tableColumn id="89" name="Colonne335" dataDxfId="2230" totalsRowDxfId="2231" dataCellStyle="Employé"/>
    <tableColumn id="90" name="Colonne336" dataDxfId="2228" totalsRowDxfId="2229" dataCellStyle="Employé"/>
    <tableColumn id="91" name="Colonne337" dataDxfId="2226" totalsRowDxfId="2227" dataCellStyle="Employé"/>
    <tableColumn id="92" name="Colonne338" dataDxfId="2224" totalsRowDxfId="2225" dataCellStyle="Employé"/>
    <tableColumn id="93" name="Colonne339" dataDxfId="2222" totalsRowDxfId="2223" dataCellStyle="Employé"/>
    <tableColumn id="94" name="Colonne340" dataDxfId="2220" totalsRowDxfId="2221" dataCellStyle="Employé"/>
    <tableColumn id="95" name="Colonne341" dataDxfId="2218" totalsRowDxfId="2219" dataCellStyle="Employé"/>
    <tableColumn id="96" name="Colonne342" dataDxfId="2216" totalsRowDxfId="2217" dataCellStyle="Employé"/>
    <tableColumn id="2" name="Colonne343" totalsRowFunction="count" dataDxfId="2214" totalsRowDxfId="2215"/>
    <tableColumn id="3" name="Colonne344" totalsRowFunction="count" dataDxfId="2212" totalsRowDxfId="2213"/>
    <tableColumn id="4" name="Colonne345" totalsRowFunction="count" dataDxfId="2210" totalsRowDxfId="2211"/>
    <tableColumn id="5" name="Colonne346" totalsRowFunction="count" dataDxfId="2208" totalsRowDxfId="2209"/>
    <tableColumn id="6" name="Colonne347" totalsRowFunction="count" dataDxfId="2206" totalsRowDxfId="2207"/>
    <tableColumn id="7" name="Colonne348" totalsRowFunction="count" dataDxfId="2204" totalsRowDxfId="2205"/>
    <tableColumn id="8" name="Colonne349" totalsRowFunction="count" dataDxfId="2202" totalsRowDxfId="2203"/>
    <tableColumn id="9" name="Colonne350" totalsRowFunction="count" dataDxfId="2200" totalsRowDxfId="2201"/>
    <tableColumn id="10" name="Colonne351" totalsRowFunction="count" dataDxfId="2198" totalsRowDxfId="2199"/>
    <tableColumn id="11" name="Colonne352" totalsRowFunction="count" dataDxfId="2196" totalsRowDxfId="2197"/>
    <tableColumn id="12" name="Colonne353" totalsRowFunction="count" dataDxfId="2194" totalsRowDxfId="2195"/>
    <tableColumn id="13" name="Colonne354" totalsRowFunction="count" dataDxfId="2192" totalsRowDxfId="2193"/>
    <tableColumn id="14" name="Colonne355" totalsRowFunction="count" dataDxfId="2190" totalsRowDxfId="2191"/>
    <tableColumn id="15" name="Colonne356" totalsRowFunction="count" dataDxfId="2188" totalsRowDxfId="2189"/>
    <tableColumn id="16" name="Colonne357" totalsRowFunction="count" dataDxfId="2186" totalsRowDxfId="2187"/>
    <tableColumn id="17" name="Colonne358" totalsRowFunction="count" dataDxfId="2184" totalsRowDxfId="2185"/>
    <tableColumn id="18" name="Colonne359" totalsRowFunction="count" dataDxfId="2182" totalsRowDxfId="2183"/>
    <tableColumn id="19" name="Colonne360" totalsRowFunction="count" dataDxfId="2180" totalsRowDxfId="2181"/>
    <tableColumn id="20" name="Colonne361" totalsRowFunction="count" dataDxfId="2178" totalsRowDxfId="2179"/>
    <tableColumn id="21" name="Colonne362" totalsRowFunction="count" dataDxfId="2176" totalsRowDxfId="2177"/>
    <tableColumn id="22" name="Colonne363" totalsRowFunction="count" dataDxfId="2174" totalsRowDxfId="2175"/>
    <tableColumn id="23" name="Colonne364" totalsRowFunction="count" dataDxfId="2172" totalsRowDxfId="2173"/>
    <tableColumn id="24" name="Colonne365" totalsRowFunction="count" dataDxfId="2170" totalsRowDxfId="2171"/>
    <tableColumn id="25" name="Colonne366" totalsRowFunction="count" dataDxfId="2168" totalsRowDxfId="2169"/>
    <tableColumn id="26" name="Colonne367" totalsRowFunction="count" dataDxfId="2166" totalsRowDxfId="2167"/>
    <tableColumn id="27" name="Colonne368" totalsRowFunction="count" dataDxfId="2164" totalsRowDxfId="2165"/>
    <tableColumn id="28" name="Colonne369" totalsRowFunction="count" dataDxfId="2162" totalsRowDxfId="2163"/>
    <tableColumn id="29" name="Colonne370" totalsRowFunction="count" dataDxfId="2160" totalsRowDxfId="2161"/>
    <tableColumn id="30" name="Colonne371" totalsRowFunction="count" dataDxfId="2158" totalsRowDxfId="2159"/>
    <tableColumn id="31" name="Colonne372" totalsRowFunction="sum" dataDxfId="2156" totalsRowDxfId="2157"/>
    <tableColumn id="32" name="Colonne373" totalsRowFunction="sum" dataDxfId="2154" totalsRowDxfId="2155" dataCellStyle="Total"/>
    <tableColumn id="33" name="Colonne32" totalsRowFunction="sum" dataDxfId="2152" totalsRowDxfId="2153" dataCellStyle="Total">
      <calculatedColumnFormula>COUNTA(Juin23[[#This Row],[Colonne343]:[Colonne373]])</calculatedColumnFormula>
    </tableColumn>
  </tableColumns>
  <tableStyleInfo name="Tableau des absences des employés" showFirstColumn="1" showLastColumn="1" showRowStripes="1" showColumnStripes="0"/>
</table>
</file>

<file path=xl/tables/table3.xml><?xml version="1.0" encoding="utf-8"?>
<table xmlns="http://schemas.openxmlformats.org/spreadsheetml/2006/main" id="3" name="Juin24" displayName="Juin24" ref="B10:CR17" headerRowCount="1" totalsRowCount="1" headerRowDxfId="2151" dataDxfId="2150" totalsRowDxfId="2149">
  <tableColumns count="95">
    <tableColumn id="1" name="Nom de la star" totalsRowFunction="custom" dataDxfId="2147" totalsRowDxfId="2148" dataCellStyle="Employé">
      <totalsRowFormula>NomMois&amp;" total"</totalsRowFormula>
    </tableColumn>
    <tableColumn id="97" name="Colonne1" dataDxfId="2145" totalsRowDxfId="2146" dataCellStyle="Employé"/>
    <tableColumn id="98" name="Colonne2" dataDxfId="2143" totalsRowDxfId="2144" dataCellStyle="Employé"/>
    <tableColumn id="99" name="Colonne3" dataDxfId="2141" totalsRowDxfId="2142" dataCellStyle="Employé"/>
    <tableColumn id="100" name="Colonne4" dataDxfId="2139" totalsRowDxfId="2140" dataCellStyle="Employé"/>
    <tableColumn id="101" name="Colonne5" dataDxfId="2137" totalsRowDxfId="2138" dataCellStyle="Employé"/>
    <tableColumn id="102" name="Colonne6" dataDxfId="2135" totalsRowDxfId="2136" dataCellStyle="Employé"/>
    <tableColumn id="103" name="Colonne7" dataDxfId="2133" totalsRowDxfId="2134" dataCellStyle="Employé"/>
    <tableColumn id="104" name="Colonne8" dataDxfId="2131" totalsRowDxfId="2132" dataCellStyle="Employé"/>
    <tableColumn id="105" name="Colonne9" dataDxfId="2129" totalsRowDxfId="2130" dataCellStyle="Employé"/>
    <tableColumn id="106" name="Colonne10" dataDxfId="2127" totalsRowDxfId="2128" dataCellStyle="Employé"/>
    <tableColumn id="107" name="Colonne11" dataDxfId="2125" totalsRowDxfId="2126" dataCellStyle="Employé"/>
    <tableColumn id="108" name="Colonne12" dataDxfId="2123" totalsRowDxfId="2124" dataCellStyle="Employé"/>
    <tableColumn id="109" name="Colonne13" dataDxfId="2121" totalsRowDxfId="2122" dataCellStyle="Employé"/>
    <tableColumn id="110" name="Colonne14" dataDxfId="2119" totalsRowDxfId="2120" dataCellStyle="Employé"/>
    <tableColumn id="111" name="Colonne15" dataDxfId="2117" totalsRowDxfId="2118" dataCellStyle="Employé"/>
    <tableColumn id="112" name="Colonne16" dataDxfId="2115" totalsRowDxfId="2116" dataCellStyle="Employé"/>
    <tableColumn id="113" name="Colonne17" dataDxfId="2113" totalsRowDxfId="2114" dataCellStyle="Employé"/>
    <tableColumn id="114" name="Colonne18" dataDxfId="2111" totalsRowDxfId="2112" dataCellStyle="Employé"/>
    <tableColumn id="115" name="Colonne19" dataDxfId="2109" totalsRowDxfId="2110" dataCellStyle="Employé"/>
    <tableColumn id="116" name="Colonne20" dataDxfId="2107" totalsRowDxfId="2108" dataCellStyle="Employé"/>
    <tableColumn id="117" name="Colonne21" dataDxfId="2105" totalsRowDxfId="2106" dataCellStyle="Employé"/>
    <tableColumn id="118" name="Colonne22" dataDxfId="2103" totalsRowDxfId="2104" dataCellStyle="Employé"/>
    <tableColumn id="119" name="Colonne23" dataDxfId="2101" totalsRowDxfId="2102" dataCellStyle="Employé"/>
    <tableColumn id="120" name="Colonne24" dataDxfId="2099" totalsRowDxfId="2100" dataCellStyle="Employé"/>
    <tableColumn id="121" name="Colonne25" dataDxfId="2097" totalsRowDxfId="2098" dataCellStyle="Employé"/>
    <tableColumn id="122" name="Colonne26" dataDxfId="2095" totalsRowDxfId="2096" dataCellStyle="Employé"/>
    <tableColumn id="123" name="Colonne27" dataDxfId="2093" totalsRowDxfId="2094" dataCellStyle="Employé"/>
    <tableColumn id="124" name="Colonne28" dataDxfId="2091" totalsRowDxfId="2092" dataCellStyle="Employé"/>
    <tableColumn id="125" name="Colonne29" dataDxfId="2089" totalsRowDxfId="2090" dataCellStyle="Employé"/>
    <tableColumn id="126" name="Colonne30" dataDxfId="2087" totalsRowDxfId="2088" dataCellStyle="Employé"/>
    <tableColumn id="127" name="Colonne31" dataDxfId="2085" totalsRowDxfId="2086" dataCellStyle="Employé"/>
    <tableColumn id="66" name="Colonne312" dataDxfId="2083" totalsRowDxfId="2084" dataCellStyle="Employé"/>
    <tableColumn id="67" name="Colonne313" dataDxfId="2081" totalsRowDxfId="2082" dataCellStyle="Employé"/>
    <tableColumn id="68" name="Colonne314" dataDxfId="2079" totalsRowDxfId="2080" dataCellStyle="Employé"/>
    <tableColumn id="69" name="Colonne315" dataDxfId="2077" totalsRowDxfId="2078" dataCellStyle="Employé"/>
    <tableColumn id="70" name="Colonne316" dataDxfId="2075" totalsRowDxfId="2076" dataCellStyle="Employé"/>
    <tableColumn id="71" name="Colonne317" dataDxfId="2073" totalsRowDxfId="2074" dataCellStyle="Employé"/>
    <tableColumn id="72" name="Colonne318" dataDxfId="2071" totalsRowDxfId="2072" dataCellStyle="Employé"/>
    <tableColumn id="73" name="Colonne319" dataDxfId="2069" totalsRowDxfId="2070" dataCellStyle="Employé"/>
    <tableColumn id="74" name="Colonne320" dataDxfId="2067" totalsRowDxfId="2068" dataCellStyle="Employé"/>
    <tableColumn id="75" name="Colonne321" dataDxfId="2065" totalsRowDxfId="2066" dataCellStyle="Employé"/>
    <tableColumn id="76" name="Colonne322" dataDxfId="2063" totalsRowDxfId="2064" dataCellStyle="Employé"/>
    <tableColumn id="77" name="Colonne323" dataDxfId="2061" totalsRowDxfId="2062" dataCellStyle="Employé"/>
    <tableColumn id="78" name="Colonne324" dataDxfId="2059" totalsRowDxfId="2060" dataCellStyle="Employé"/>
    <tableColumn id="79" name="Colonne325" dataDxfId="2057" totalsRowDxfId="2058" dataCellStyle="Employé"/>
    <tableColumn id="80" name="Colonne326" dataDxfId="2055" totalsRowDxfId="2056" dataCellStyle="Employé"/>
    <tableColumn id="81" name="Colonne327" dataDxfId="2053" totalsRowDxfId="2054" dataCellStyle="Employé"/>
    <tableColumn id="82" name="Colonne328" dataDxfId="2051" totalsRowDxfId="2052" dataCellStyle="Employé"/>
    <tableColumn id="83" name="Colonne329" dataDxfId="2049" totalsRowDxfId="2050" dataCellStyle="Employé"/>
    <tableColumn id="84" name="Colonne330" dataDxfId="2047" totalsRowDxfId="2048" dataCellStyle="Employé"/>
    <tableColumn id="85" name="Colonne331" dataDxfId="2045" totalsRowDxfId="2046" dataCellStyle="Employé"/>
    <tableColumn id="86" name="Colonne332" dataDxfId="2043" totalsRowDxfId="2044" dataCellStyle="Employé"/>
    <tableColumn id="87" name="Colonne333" dataDxfId="2041" totalsRowDxfId="2042" dataCellStyle="Employé"/>
    <tableColumn id="88" name="Colonne334" dataDxfId="2039" totalsRowDxfId="2040" dataCellStyle="Employé"/>
    <tableColumn id="89" name="Colonne335" dataDxfId="2037" totalsRowDxfId="2038" dataCellStyle="Employé"/>
    <tableColumn id="90" name="Colonne336" dataDxfId="2035" totalsRowDxfId="2036" dataCellStyle="Employé"/>
    <tableColumn id="91" name="Colonne337" dataDxfId="2033" totalsRowDxfId="2034" dataCellStyle="Employé"/>
    <tableColumn id="92" name="Colonne338" dataDxfId="2031" totalsRowDxfId="2032" dataCellStyle="Employé"/>
    <tableColumn id="93" name="Colonne339" dataDxfId="2029" totalsRowDxfId="2030" dataCellStyle="Employé"/>
    <tableColumn id="94" name="Colonne340" dataDxfId="2027" totalsRowDxfId="2028" dataCellStyle="Employé"/>
    <tableColumn id="95" name="Colonne341" dataDxfId="2025" totalsRowDxfId="2026" dataCellStyle="Employé"/>
    <tableColumn id="96" name="Colonne342" dataDxfId="2023" totalsRowDxfId="2024" dataCellStyle="Employé"/>
    <tableColumn id="2" name="Colonne343" totalsRowFunction="count" dataDxfId="2021" totalsRowDxfId="2022"/>
    <tableColumn id="3" name="Colonne344" totalsRowFunction="count" dataDxfId="2019" totalsRowDxfId="2020"/>
    <tableColumn id="4" name="Colonne345" totalsRowFunction="count" dataDxfId="2017" totalsRowDxfId="2018"/>
    <tableColumn id="5" name="Colonne346" totalsRowFunction="count" dataDxfId="2015" totalsRowDxfId="2016"/>
    <tableColumn id="6" name="Colonne347" totalsRowFunction="count" dataDxfId="2013" totalsRowDxfId="2014"/>
    <tableColumn id="7" name="Colonne348" totalsRowFunction="count" dataDxfId="2011" totalsRowDxfId="2012"/>
    <tableColumn id="8" name="Colonne349" totalsRowFunction="count" dataDxfId="2009" totalsRowDxfId="2010"/>
    <tableColumn id="9" name="Colonne350" totalsRowFunction="count" dataDxfId="2007" totalsRowDxfId="2008"/>
    <tableColumn id="10" name="Colonne351" totalsRowFunction="count" dataDxfId="2005" totalsRowDxfId="2006"/>
    <tableColumn id="11" name="Colonne352" totalsRowFunction="count" dataDxfId="2003" totalsRowDxfId="2004"/>
    <tableColumn id="12" name="Colonne353" totalsRowFunction="count" dataDxfId="2001" totalsRowDxfId="2002"/>
    <tableColumn id="13" name="Colonne354" totalsRowFunction="count" dataDxfId="1999" totalsRowDxfId="2000"/>
    <tableColumn id="14" name="Colonne355" totalsRowFunction="count" dataDxfId="1997" totalsRowDxfId="1998"/>
    <tableColumn id="15" name="Colonne356" totalsRowFunction="count" dataDxfId="1995" totalsRowDxfId="1996"/>
    <tableColumn id="16" name="Colonne357" totalsRowFunction="count" dataDxfId="1993" totalsRowDxfId="1994"/>
    <tableColumn id="17" name="Colonne358" totalsRowFunction="count" dataDxfId="1991" totalsRowDxfId="1992"/>
    <tableColumn id="18" name="Colonne359" totalsRowFunction="count" dataDxfId="1989" totalsRowDxfId="1990"/>
    <tableColumn id="19" name="Colonne360" totalsRowFunction="count" dataDxfId="1987" totalsRowDxfId="1988"/>
    <tableColumn id="20" name="Colonne361" totalsRowFunction="count" dataDxfId="1985" totalsRowDxfId="1986"/>
    <tableColumn id="21" name="Colonne362" totalsRowFunction="count" dataDxfId="1983" totalsRowDxfId="1984"/>
    <tableColumn id="22" name="Colonne363" totalsRowFunction="count" dataDxfId="1981" totalsRowDxfId="1982"/>
    <tableColumn id="23" name="Colonne364" totalsRowFunction="count" dataDxfId="1979" totalsRowDxfId="1980"/>
    <tableColumn id="24" name="Colonne365" totalsRowFunction="count" dataDxfId="1977" totalsRowDxfId="1978"/>
    <tableColumn id="25" name="Colonne366" totalsRowFunction="count" dataDxfId="1975" totalsRowDxfId="1976"/>
    <tableColumn id="26" name="Colonne367" totalsRowFunction="count" dataDxfId="1973" totalsRowDxfId="1974"/>
    <tableColumn id="27" name="Colonne368" totalsRowFunction="count" dataDxfId="1971" totalsRowDxfId="1972"/>
    <tableColumn id="28" name="Colonne369" totalsRowFunction="count" dataDxfId="1969" totalsRowDxfId="1970"/>
    <tableColumn id="29" name="Colonne370" totalsRowFunction="count" dataDxfId="1967" totalsRowDxfId="1968"/>
    <tableColumn id="30" name="Colonne371" totalsRowFunction="count" dataDxfId="1965" totalsRowDxfId="1966"/>
    <tableColumn id="31" name="Colonne372" totalsRowFunction="sum" dataDxfId="1963" totalsRowDxfId="1964"/>
    <tableColumn id="32" name="Colonne373" totalsRowFunction="sum" dataDxfId="1961" totalsRowDxfId="1962" dataCellStyle="Total"/>
    <tableColumn id="33" name="Colonne32" totalsRowFunction="sum" dataDxfId="1959" totalsRowDxfId="1960" dataCellStyle="Total">
      <calculatedColumnFormula>COUNTA(Juin24[[#This Row],[Colonne343]:[Colonne373]])</calculatedColumnFormula>
    </tableColumn>
  </tableColumns>
  <tableStyleInfo name="Tableau des absences des employés" showFirstColumn="1" showLastColumn="1" showRowStripes="1" showColumnStripes="0"/>
</table>
</file>

<file path=xl/tables/table4.xml><?xml version="1.0" encoding="utf-8"?>
<table xmlns="http://schemas.openxmlformats.org/spreadsheetml/2006/main" id="4" name="Juin245" displayName="Juin245" ref="B10:CR17" headerRowCount="1" totalsRowCount="1" headerRowDxfId="1958" dataDxfId="1957" totalsRowDxfId="1956">
  <tableColumns count="95">
    <tableColumn id="1" name="Nom de la star" totalsRowFunction="custom" dataDxfId="1954" totalsRowDxfId="1955" dataCellStyle="Employé">
      <totalsRowFormula>NomMois&amp;" total"</totalsRowFormula>
    </tableColumn>
    <tableColumn id="97" name="Colonne1" dataDxfId="1952" totalsRowDxfId="1953" dataCellStyle="Employé"/>
    <tableColumn id="98" name="Colonne2" dataDxfId="1950" totalsRowDxfId="1951" dataCellStyle="Employé"/>
    <tableColumn id="99" name="Colonne3" dataDxfId="1948" totalsRowDxfId="1949" dataCellStyle="Employé"/>
    <tableColumn id="100" name="Colonne4" dataDxfId="1946" totalsRowDxfId="1947" dataCellStyle="Employé"/>
    <tableColumn id="101" name="Colonne5" dataDxfId="1944" totalsRowDxfId="1945" dataCellStyle="Employé"/>
    <tableColumn id="102" name="Colonne6" dataDxfId="1942" totalsRowDxfId="1943" dataCellStyle="Employé"/>
    <tableColumn id="103" name="Colonne7" dataDxfId="1940" totalsRowDxfId="1941" dataCellStyle="Employé"/>
    <tableColumn id="104" name="Colonne8" dataDxfId="1938" totalsRowDxfId="1939" dataCellStyle="Employé"/>
    <tableColumn id="105" name="Colonne9" dataDxfId="1936" totalsRowDxfId="1937" dataCellStyle="Employé"/>
    <tableColumn id="106" name="Colonne10" dataDxfId="1934" totalsRowDxfId="1935" dataCellStyle="Employé"/>
    <tableColumn id="107" name="Colonne11" dataDxfId="1932" totalsRowDxfId="1933" dataCellStyle="Employé"/>
    <tableColumn id="108" name="Colonne12" dataDxfId="1930" totalsRowDxfId="1931" dataCellStyle="Employé"/>
    <tableColumn id="109" name="Colonne13" dataDxfId="1928" totalsRowDxfId="1929" dataCellStyle="Employé"/>
    <tableColumn id="110" name="Colonne14" dataDxfId="1926" totalsRowDxfId="1927" dataCellStyle="Employé"/>
    <tableColumn id="111" name="Colonne15" dataDxfId="1924" totalsRowDxfId="1925" dataCellStyle="Employé"/>
    <tableColumn id="112" name="Colonne16" dataDxfId="1922" totalsRowDxfId="1923" dataCellStyle="Employé"/>
    <tableColumn id="113" name="Colonne17" dataDxfId="1920" totalsRowDxfId="1921" dataCellStyle="Employé"/>
    <tableColumn id="114" name="Colonne18" dataDxfId="1918" totalsRowDxfId="1919" dataCellStyle="Employé"/>
    <tableColumn id="115" name="Colonne19" dataDxfId="1916" totalsRowDxfId="1917" dataCellStyle="Employé"/>
    <tableColumn id="116" name="Colonne20" dataDxfId="1914" totalsRowDxfId="1915" dataCellStyle="Employé"/>
    <tableColumn id="117" name="Colonne21" dataDxfId="1912" totalsRowDxfId="1913" dataCellStyle="Employé"/>
    <tableColumn id="118" name="Colonne22" dataDxfId="1910" totalsRowDxfId="1911" dataCellStyle="Employé"/>
    <tableColumn id="119" name="Colonne23" dataDxfId="1908" totalsRowDxfId="1909" dataCellStyle="Employé"/>
    <tableColumn id="120" name="Colonne24" dataDxfId="1906" totalsRowDxfId="1907" dataCellStyle="Employé"/>
    <tableColumn id="121" name="Colonne25" dataDxfId="1904" totalsRowDxfId="1905" dataCellStyle="Employé"/>
    <tableColumn id="122" name="Colonne26" dataDxfId="1902" totalsRowDxfId="1903" dataCellStyle="Employé"/>
    <tableColumn id="123" name="Colonne27" dataDxfId="1900" totalsRowDxfId="1901" dataCellStyle="Employé"/>
    <tableColumn id="124" name="Colonne28" dataDxfId="1898" totalsRowDxfId="1899" dataCellStyle="Employé"/>
    <tableColumn id="125" name="Colonne29" dataDxfId="1896" totalsRowDxfId="1897" dataCellStyle="Employé"/>
    <tableColumn id="126" name="Colonne30" dataDxfId="1894" totalsRowDxfId="1895" dataCellStyle="Employé"/>
    <tableColumn id="127" name="Colonne31" dataDxfId="1892" totalsRowDxfId="1893" dataCellStyle="Employé"/>
    <tableColumn id="66" name="Colonne312" dataDxfId="1890" totalsRowDxfId="1891" dataCellStyle="Employé"/>
    <tableColumn id="67" name="Colonne313" dataDxfId="1888" totalsRowDxfId="1889" dataCellStyle="Employé"/>
    <tableColumn id="68" name="Colonne314" dataDxfId="1886" totalsRowDxfId="1887" dataCellStyle="Employé"/>
    <tableColumn id="69" name="Colonne315" dataDxfId="1884" totalsRowDxfId="1885" dataCellStyle="Employé"/>
    <tableColumn id="70" name="Colonne316" dataDxfId="1882" totalsRowDxfId="1883" dataCellStyle="Employé"/>
    <tableColumn id="71" name="Colonne317" dataDxfId="1880" totalsRowDxfId="1881" dataCellStyle="Employé"/>
    <tableColumn id="72" name="Colonne318" dataDxfId="1878" totalsRowDxfId="1879" dataCellStyle="Employé"/>
    <tableColumn id="73" name="Colonne319" dataDxfId="1876" totalsRowDxfId="1877" dataCellStyle="Employé"/>
    <tableColumn id="74" name="Colonne320" dataDxfId="1874" totalsRowDxfId="1875" dataCellStyle="Employé"/>
    <tableColumn id="75" name="Colonne321" dataDxfId="1872" totalsRowDxfId="1873" dataCellStyle="Employé"/>
    <tableColumn id="76" name="Colonne322" dataDxfId="1870" totalsRowDxfId="1871" dataCellStyle="Employé"/>
    <tableColumn id="77" name="Colonne323" dataDxfId="1868" totalsRowDxfId="1869" dataCellStyle="Employé"/>
    <tableColumn id="78" name="Colonne324" dataDxfId="1866" totalsRowDxfId="1867" dataCellStyle="Employé"/>
    <tableColumn id="79" name="Colonne325" dataDxfId="1864" totalsRowDxfId="1865" dataCellStyle="Employé"/>
    <tableColumn id="80" name="Colonne326" dataDxfId="1862" totalsRowDxfId="1863" dataCellStyle="Employé"/>
    <tableColumn id="81" name="Colonne327" dataDxfId="1860" totalsRowDxfId="1861" dataCellStyle="Employé"/>
    <tableColumn id="82" name="Colonne328" dataDxfId="1858" totalsRowDxfId="1859" dataCellStyle="Employé"/>
    <tableColumn id="83" name="Colonne329" dataDxfId="1856" totalsRowDxfId="1857" dataCellStyle="Employé"/>
    <tableColumn id="84" name="Colonne330" dataDxfId="1854" totalsRowDxfId="1855" dataCellStyle="Employé"/>
    <tableColumn id="85" name="Colonne331" dataDxfId="1852" totalsRowDxfId="1853" dataCellStyle="Employé"/>
    <tableColumn id="86" name="Colonne332" dataDxfId="1850" totalsRowDxfId="1851" dataCellStyle="Employé"/>
    <tableColumn id="87" name="Colonne333" dataDxfId="1848" totalsRowDxfId="1849" dataCellStyle="Employé"/>
    <tableColumn id="88" name="Colonne334" dataDxfId="1846" totalsRowDxfId="1847" dataCellStyle="Employé"/>
    <tableColumn id="89" name="Colonne335" dataDxfId="1844" totalsRowDxfId="1845" dataCellStyle="Employé"/>
    <tableColumn id="90" name="Colonne336" dataDxfId="1842" totalsRowDxfId="1843" dataCellStyle="Employé"/>
    <tableColumn id="91" name="Colonne337" dataDxfId="1840" totalsRowDxfId="1841" dataCellStyle="Employé"/>
    <tableColumn id="92" name="Colonne338" dataDxfId="1838" totalsRowDxfId="1839" dataCellStyle="Employé"/>
    <tableColumn id="93" name="Colonne339" dataDxfId="1836" totalsRowDxfId="1837" dataCellStyle="Employé"/>
    <tableColumn id="94" name="Colonne340" dataDxfId="1834" totalsRowDxfId="1835" dataCellStyle="Employé"/>
    <tableColumn id="95" name="Colonne341" dataDxfId="1832" totalsRowDxfId="1833" dataCellStyle="Employé"/>
    <tableColumn id="96" name="Colonne342" dataDxfId="1830" totalsRowDxfId="1831" dataCellStyle="Employé"/>
    <tableColumn id="2" name="Colonne343" totalsRowFunction="count" dataDxfId="1828" totalsRowDxfId="1829"/>
    <tableColumn id="3" name="Colonne344" totalsRowFunction="count" dataDxfId="1826" totalsRowDxfId="1827"/>
    <tableColumn id="4" name="Colonne345" totalsRowFunction="count" dataDxfId="1824" totalsRowDxfId="1825"/>
    <tableColumn id="5" name="Colonne346" totalsRowFunction="count" dataDxfId="1822" totalsRowDxfId="1823"/>
    <tableColumn id="6" name="Colonne347" totalsRowFunction="count" dataDxfId="1820" totalsRowDxfId="1821"/>
    <tableColumn id="7" name="Colonne348" totalsRowFunction="count" dataDxfId="1818" totalsRowDxfId="1819"/>
    <tableColumn id="8" name="Colonne349" totalsRowFunction="count" dataDxfId="1816" totalsRowDxfId="1817"/>
    <tableColumn id="9" name="Colonne350" totalsRowFunction="count" dataDxfId="1814" totalsRowDxfId="1815"/>
    <tableColumn id="10" name="Colonne351" totalsRowFunction="count" dataDxfId="1812" totalsRowDxfId="1813"/>
    <tableColumn id="11" name="Colonne352" totalsRowFunction="count" dataDxfId="1810" totalsRowDxfId="1811"/>
    <tableColumn id="12" name="Colonne353" totalsRowFunction="count" dataDxfId="1808" totalsRowDxfId="1809"/>
    <tableColumn id="13" name="Colonne354" totalsRowFunction="count" dataDxfId="1806" totalsRowDxfId="1807"/>
    <tableColumn id="14" name="Colonne355" totalsRowFunction="count" dataDxfId="1804" totalsRowDxfId="1805"/>
    <tableColumn id="15" name="Colonne356" totalsRowFunction="count" dataDxfId="1802" totalsRowDxfId="1803"/>
    <tableColumn id="16" name="Colonne357" totalsRowFunction="count" dataDxfId="1800" totalsRowDxfId="1801"/>
    <tableColumn id="17" name="Colonne358" totalsRowFunction="count" dataDxfId="1798" totalsRowDxfId="1799"/>
    <tableColumn id="18" name="Colonne359" totalsRowFunction="count" dataDxfId="1796" totalsRowDxfId="1797"/>
    <tableColumn id="19" name="Colonne360" totalsRowFunction="count" dataDxfId="1794" totalsRowDxfId="1795"/>
    <tableColumn id="20" name="Colonne361" totalsRowFunction="count" dataDxfId="1792" totalsRowDxfId="1793"/>
    <tableColumn id="21" name="Colonne362" totalsRowFunction="count" dataDxfId="1790" totalsRowDxfId="1791"/>
    <tableColumn id="22" name="Colonne363" totalsRowFunction="count" dataDxfId="1788" totalsRowDxfId="1789"/>
    <tableColumn id="23" name="Colonne364" totalsRowFunction="count" dataDxfId="1786" totalsRowDxfId="1787"/>
    <tableColumn id="24" name="Colonne365" totalsRowFunction="count" dataDxfId="1784" totalsRowDxfId="1785"/>
    <tableColumn id="25" name="Colonne366" totalsRowFunction="count" dataDxfId="1782" totalsRowDxfId="1783"/>
    <tableColumn id="26" name="Colonne367" totalsRowFunction="count" dataDxfId="1780" totalsRowDxfId="1781"/>
    <tableColumn id="27" name="Colonne368" totalsRowFunction="count" dataDxfId="1778" totalsRowDxfId="1779"/>
    <tableColumn id="28" name="Colonne369" totalsRowFunction="count" dataDxfId="1776" totalsRowDxfId="1777"/>
    <tableColumn id="29" name="Colonne370" totalsRowFunction="count" dataDxfId="1774" totalsRowDxfId="1775"/>
    <tableColumn id="30" name="Colonne371" totalsRowFunction="count" dataDxfId="1772" totalsRowDxfId="1773"/>
    <tableColumn id="31" name="Colonne372" totalsRowFunction="sum" dataDxfId="1770" totalsRowDxfId="1771"/>
    <tableColumn id="32" name="Colonne373" totalsRowFunction="sum" dataDxfId="1768" totalsRowDxfId="1769" dataCellStyle="Total"/>
    <tableColumn id="33" name="Colonne32" totalsRowFunction="sum" dataDxfId="1766" totalsRowDxfId="1767" dataCellStyle="Total">
      <calculatedColumnFormula>COUNTA(Juin245[[#This Row],[Colonne343]:[Colonne373]])</calculatedColumnFormula>
    </tableColumn>
  </tableColumns>
  <tableStyleInfo name="Tableau des absences des employés" showFirstColumn="1" showLastColumn="1" showRowStripes="1" showColumnStripes="0"/>
</table>
</file>

<file path=xl/tables/table5.xml><?xml version="1.0" encoding="utf-8"?>
<table xmlns="http://schemas.openxmlformats.org/spreadsheetml/2006/main" id="5" name="Juin2456" displayName="Juin2456" ref="B10:CR17" headerRowCount="1" totalsRowCount="1" headerRowDxfId="1765" dataDxfId="1764" totalsRowDxfId="1763">
  <tableColumns count="95">
    <tableColumn id="1" name="Nom de la star" totalsRowFunction="custom" dataDxfId="1761" totalsRowDxfId="1762" dataCellStyle="Employé">
      <totalsRowFormula>NomMois&amp;" total"</totalsRowFormula>
    </tableColumn>
    <tableColumn id="97" name="Colonne1" dataDxfId="1759" totalsRowDxfId="1760" dataCellStyle="Employé"/>
    <tableColumn id="98" name="Colonne2" dataDxfId="1757" totalsRowDxfId="1758" dataCellStyle="Employé"/>
    <tableColumn id="99" name="Colonne3" dataDxfId="1755" totalsRowDxfId="1756" dataCellStyle="Employé"/>
    <tableColumn id="100" name="Colonne4" dataDxfId="1753" totalsRowDxfId="1754" dataCellStyle="Employé"/>
    <tableColumn id="101" name="Colonne5" dataDxfId="1751" totalsRowDxfId="1752" dataCellStyle="Employé"/>
    <tableColumn id="102" name="Colonne6" dataDxfId="1749" totalsRowDxfId="1750" dataCellStyle="Employé"/>
    <tableColumn id="103" name="Colonne7" dataDxfId="1747" totalsRowDxfId="1748" dataCellStyle="Employé"/>
    <tableColumn id="104" name="Colonne8" dataDxfId="1745" totalsRowDxfId="1746" dataCellStyle="Employé"/>
    <tableColumn id="105" name="Colonne9" dataDxfId="1743" totalsRowDxfId="1744" dataCellStyle="Employé"/>
    <tableColumn id="106" name="Colonne10" dataDxfId="1741" totalsRowDxfId="1742" dataCellStyle="Employé"/>
    <tableColumn id="107" name="Colonne11" dataDxfId="1739" totalsRowDxfId="1740" dataCellStyle="Employé"/>
    <tableColumn id="108" name="Colonne12" dataDxfId="1737" totalsRowDxfId="1738" dataCellStyle="Employé"/>
    <tableColumn id="109" name="Colonne13" dataDxfId="1735" totalsRowDxfId="1736" dataCellStyle="Employé"/>
    <tableColumn id="110" name="Colonne14" dataDxfId="1733" totalsRowDxfId="1734" dataCellStyle="Employé"/>
    <tableColumn id="111" name="Colonne15" dataDxfId="1731" totalsRowDxfId="1732" dataCellStyle="Employé"/>
    <tableColumn id="112" name="Colonne16" dataDxfId="1729" totalsRowDxfId="1730" dataCellStyle="Employé"/>
    <tableColumn id="113" name="Colonne17" dataDxfId="1727" totalsRowDxfId="1728" dataCellStyle="Employé"/>
    <tableColumn id="114" name="Colonne18" dataDxfId="1725" totalsRowDxfId="1726" dataCellStyle="Employé"/>
    <tableColumn id="115" name="Colonne19" dataDxfId="1723" totalsRowDxfId="1724" dataCellStyle="Employé"/>
    <tableColumn id="116" name="Colonne20" dataDxfId="1721" totalsRowDxfId="1722" dataCellStyle="Employé"/>
    <tableColumn id="117" name="Colonne21" dataDxfId="1719" totalsRowDxfId="1720" dataCellStyle="Employé"/>
    <tableColumn id="118" name="Colonne22" dataDxfId="1717" totalsRowDxfId="1718" dataCellStyle="Employé"/>
    <tableColumn id="119" name="Colonne23" dataDxfId="1715" totalsRowDxfId="1716" dataCellStyle="Employé"/>
    <tableColumn id="120" name="Colonne24" dataDxfId="1713" totalsRowDxfId="1714" dataCellStyle="Employé"/>
    <tableColumn id="121" name="Colonne25" dataDxfId="1711" totalsRowDxfId="1712" dataCellStyle="Employé"/>
    <tableColumn id="122" name="Colonne26" dataDxfId="1709" totalsRowDxfId="1710" dataCellStyle="Employé"/>
    <tableColumn id="123" name="Colonne27" dataDxfId="1707" totalsRowDxfId="1708" dataCellStyle="Employé"/>
    <tableColumn id="124" name="Colonne28" dataDxfId="1705" totalsRowDxfId="1706" dataCellStyle="Employé"/>
    <tableColumn id="125" name="Colonne29" dataDxfId="1703" totalsRowDxfId="1704" dataCellStyle="Employé"/>
    <tableColumn id="126" name="Colonne30" dataDxfId="1701" totalsRowDxfId="1702" dataCellStyle="Employé"/>
    <tableColumn id="127" name="Colonne31" dataDxfId="1699" totalsRowDxfId="1700" dataCellStyle="Employé"/>
    <tableColumn id="66" name="Colonne312" dataDxfId="1697" totalsRowDxfId="1698" dataCellStyle="Employé"/>
    <tableColumn id="67" name="Colonne313" dataDxfId="1695" totalsRowDxfId="1696" dataCellStyle="Employé"/>
    <tableColumn id="68" name="Colonne314" dataDxfId="1693" totalsRowDxfId="1694" dataCellStyle="Employé"/>
    <tableColumn id="69" name="Colonne315" dataDxfId="1691" totalsRowDxfId="1692" dataCellStyle="Employé"/>
    <tableColumn id="70" name="Colonne316" dataDxfId="1689" totalsRowDxfId="1690" dataCellStyle="Employé"/>
    <tableColumn id="71" name="Colonne317" dataDxfId="1687" totalsRowDxfId="1688" dataCellStyle="Employé"/>
    <tableColumn id="72" name="Colonne318" dataDxfId="1685" totalsRowDxfId="1686" dataCellStyle="Employé"/>
    <tableColumn id="73" name="Colonne319" dataDxfId="1683" totalsRowDxfId="1684" dataCellStyle="Employé"/>
    <tableColumn id="74" name="Colonne320" dataDxfId="1681" totalsRowDxfId="1682" dataCellStyle="Employé"/>
    <tableColumn id="75" name="Colonne321" dataDxfId="1679" totalsRowDxfId="1680" dataCellStyle="Employé"/>
    <tableColumn id="76" name="Colonne322" dataDxfId="1677" totalsRowDxfId="1678" dataCellStyle="Employé"/>
    <tableColumn id="77" name="Colonne323" dataDxfId="1675" totalsRowDxfId="1676" dataCellStyle="Employé"/>
    <tableColumn id="78" name="Colonne324" dataDxfId="1673" totalsRowDxfId="1674" dataCellStyle="Employé"/>
    <tableColumn id="79" name="Colonne325" dataDxfId="1671" totalsRowDxfId="1672" dataCellStyle="Employé"/>
    <tableColumn id="80" name="Colonne326" dataDxfId="1669" totalsRowDxfId="1670" dataCellStyle="Employé"/>
    <tableColumn id="81" name="Colonne327" dataDxfId="1667" totalsRowDxfId="1668" dataCellStyle="Employé"/>
    <tableColumn id="82" name="Colonne328" dataDxfId="1665" totalsRowDxfId="1666" dataCellStyle="Employé"/>
    <tableColumn id="83" name="Colonne329" dataDxfId="1663" totalsRowDxfId="1664" dataCellStyle="Employé"/>
    <tableColumn id="84" name="Colonne330" dataDxfId="1661" totalsRowDxfId="1662" dataCellStyle="Employé"/>
    <tableColumn id="85" name="Colonne331" dataDxfId="1659" totalsRowDxfId="1660" dataCellStyle="Employé"/>
    <tableColumn id="86" name="Colonne332" dataDxfId="1657" totalsRowDxfId="1658" dataCellStyle="Employé"/>
    <tableColumn id="87" name="Colonne333" dataDxfId="1655" totalsRowDxfId="1656" dataCellStyle="Employé"/>
    <tableColumn id="88" name="Colonne334" dataDxfId="1653" totalsRowDxfId="1654" dataCellStyle="Employé"/>
    <tableColumn id="89" name="Colonne335" dataDxfId="1651" totalsRowDxfId="1652" dataCellStyle="Employé"/>
    <tableColumn id="90" name="Colonne336" dataDxfId="1649" totalsRowDxfId="1650" dataCellStyle="Employé"/>
    <tableColumn id="91" name="Colonne337" dataDxfId="1647" totalsRowDxfId="1648" dataCellStyle="Employé"/>
    <tableColumn id="92" name="Colonne338" dataDxfId="1645" totalsRowDxfId="1646" dataCellStyle="Employé"/>
    <tableColumn id="93" name="Colonne339" dataDxfId="1643" totalsRowDxfId="1644" dataCellStyle="Employé"/>
    <tableColumn id="94" name="Colonne340" dataDxfId="1641" totalsRowDxfId="1642" dataCellStyle="Employé"/>
    <tableColumn id="95" name="Colonne341" dataDxfId="1639" totalsRowDxfId="1640" dataCellStyle="Employé"/>
    <tableColumn id="96" name="Colonne342" dataDxfId="1637" totalsRowDxfId="1638" dataCellStyle="Employé"/>
    <tableColumn id="2" name="Colonne343" totalsRowFunction="count" dataDxfId="1635" totalsRowDxfId="1636"/>
    <tableColumn id="3" name="Colonne344" totalsRowFunction="count" dataDxfId="1633" totalsRowDxfId="1634"/>
    <tableColumn id="4" name="Colonne345" totalsRowFunction="count" dataDxfId="1631" totalsRowDxfId="1632"/>
    <tableColumn id="5" name="Colonne346" totalsRowFunction="count" dataDxfId="1629" totalsRowDxfId="1630"/>
    <tableColumn id="6" name="Colonne347" totalsRowFunction="count" dataDxfId="1627" totalsRowDxfId="1628"/>
    <tableColumn id="7" name="Colonne348" totalsRowFunction="count" dataDxfId="1625" totalsRowDxfId="1626"/>
    <tableColumn id="8" name="Colonne349" totalsRowFunction="count" dataDxfId="1623" totalsRowDxfId="1624"/>
    <tableColumn id="9" name="Colonne350" totalsRowFunction="count" dataDxfId="1621" totalsRowDxfId="1622"/>
    <tableColumn id="10" name="Colonne351" totalsRowFunction="count" dataDxfId="1619" totalsRowDxfId="1620"/>
    <tableColumn id="11" name="Colonne352" totalsRowFunction="count" dataDxfId="1617" totalsRowDxfId="1618"/>
    <tableColumn id="12" name="Colonne353" totalsRowFunction="count" dataDxfId="1615" totalsRowDxfId="1616"/>
    <tableColumn id="13" name="Colonne354" totalsRowFunction="count" dataDxfId="1613" totalsRowDxfId="1614"/>
    <tableColumn id="14" name="Colonne355" totalsRowFunction="count" dataDxfId="1611" totalsRowDxfId="1612"/>
    <tableColumn id="15" name="Colonne356" totalsRowFunction="count" dataDxfId="1609" totalsRowDxfId="1610"/>
    <tableColumn id="16" name="Colonne357" totalsRowFunction="count" dataDxfId="1607" totalsRowDxfId="1608"/>
    <tableColumn id="17" name="Colonne358" totalsRowFunction="count" dataDxfId="1605" totalsRowDxfId="1606"/>
    <tableColumn id="18" name="Colonne359" totalsRowFunction="count" dataDxfId="1603" totalsRowDxfId="1604"/>
    <tableColumn id="19" name="Colonne360" totalsRowFunction="count" dataDxfId="1601" totalsRowDxfId="1602"/>
    <tableColumn id="20" name="Colonne361" totalsRowFunction="count" dataDxfId="1599" totalsRowDxfId="1600"/>
    <tableColumn id="21" name="Colonne362" totalsRowFunction="count" dataDxfId="1597" totalsRowDxfId="1598"/>
    <tableColumn id="22" name="Colonne363" totalsRowFunction="count" dataDxfId="1595" totalsRowDxfId="1596"/>
    <tableColumn id="23" name="Colonne364" totalsRowFunction="count" dataDxfId="1593" totalsRowDxfId="1594"/>
    <tableColumn id="24" name="Colonne365" totalsRowFunction="count" dataDxfId="1591" totalsRowDxfId="1592"/>
    <tableColumn id="25" name="Colonne366" totalsRowFunction="count" dataDxfId="1589" totalsRowDxfId="1590"/>
    <tableColumn id="26" name="Colonne367" totalsRowFunction="count" dataDxfId="1587" totalsRowDxfId="1588"/>
    <tableColumn id="27" name="Colonne368" totalsRowFunction="count" dataDxfId="1585" totalsRowDxfId="1586"/>
    <tableColumn id="28" name="Colonne369" totalsRowFunction="count" dataDxfId="1583" totalsRowDxfId="1584"/>
    <tableColumn id="29" name="Colonne370" totalsRowFunction="count" dataDxfId="1581" totalsRowDxfId="1582"/>
    <tableColumn id="30" name="Colonne371" totalsRowFunction="count" dataDxfId="1579" totalsRowDxfId="1580"/>
    <tableColumn id="31" name="Colonne372" totalsRowFunction="sum" dataDxfId="1577" totalsRowDxfId="1578"/>
    <tableColumn id="32" name="Colonne373" totalsRowFunction="sum" dataDxfId="1575" totalsRowDxfId="1576" dataCellStyle="Total"/>
    <tableColumn id="33" name="Colonne32" totalsRowFunction="sum" dataDxfId="1573" totalsRowDxfId="1574" dataCellStyle="Total">
      <calculatedColumnFormula>COUNTA(Juin2456[[#This Row],[Colonne343]:[Colonne373]])</calculatedColumnFormula>
    </tableColumn>
  </tableColumns>
  <tableStyleInfo name="Tableau des absences des employés" showFirstColumn="1" showLastColumn="1" showRowStripes="1" showColumnStripes="0"/>
</table>
</file>

<file path=xl/tables/table6.xml><?xml version="1.0" encoding="utf-8"?>
<table xmlns="http://schemas.openxmlformats.org/spreadsheetml/2006/main" id="6" name="Juin24567" displayName="Juin24567" ref="B10:CR17" headerRowCount="1" totalsRowCount="1" headerRowDxfId="1572" dataDxfId="1571" totalsRowDxfId="1570">
  <tableColumns count="95">
    <tableColumn id="1" name="Nom de la star" totalsRowFunction="custom" dataDxfId="1568" totalsRowDxfId="1569" dataCellStyle="Employé">
      <totalsRowFormula>NomMois&amp;" total"</totalsRowFormula>
    </tableColumn>
    <tableColumn id="97" name="Colonne1" dataDxfId="1566" totalsRowDxfId="1567" dataCellStyle="Employé"/>
    <tableColumn id="98" name="Colonne2" dataDxfId="1564" totalsRowDxfId="1565" dataCellStyle="Employé"/>
    <tableColumn id="99" name="Colonne3" dataDxfId="1562" totalsRowDxfId="1563" dataCellStyle="Employé"/>
    <tableColumn id="100" name="Colonne4" dataDxfId="1560" totalsRowDxfId="1561" dataCellStyle="Employé"/>
    <tableColumn id="101" name="Colonne5" dataDxfId="1558" totalsRowDxfId="1559" dataCellStyle="Employé"/>
    <tableColumn id="102" name="Colonne6" dataDxfId="1556" totalsRowDxfId="1557" dataCellStyle="Employé"/>
    <tableColumn id="103" name="Colonne7" dataDxfId="1554" totalsRowDxfId="1555" dataCellStyle="Employé"/>
    <tableColumn id="104" name="Colonne8" dataDxfId="1552" totalsRowDxfId="1553" dataCellStyle="Employé"/>
    <tableColumn id="105" name="Colonne9" dataDxfId="1550" totalsRowDxfId="1551" dataCellStyle="Employé"/>
    <tableColumn id="106" name="Colonne10" dataDxfId="1548" totalsRowDxfId="1549" dataCellStyle="Employé"/>
    <tableColumn id="107" name="Colonne11" dataDxfId="1546" totalsRowDxfId="1547" dataCellStyle="Employé"/>
    <tableColumn id="108" name="Colonne12" dataDxfId="1544" totalsRowDxfId="1545" dataCellStyle="Employé"/>
    <tableColumn id="109" name="Colonne13" dataDxfId="1542" totalsRowDxfId="1543" dataCellStyle="Employé"/>
    <tableColumn id="110" name="Colonne14" dataDxfId="1540" totalsRowDxfId="1541" dataCellStyle="Employé"/>
    <tableColumn id="111" name="Colonne15" dataDxfId="1538" totalsRowDxfId="1539" dataCellStyle="Employé"/>
    <tableColumn id="112" name="Colonne16" dataDxfId="1536" totalsRowDxfId="1537" dataCellStyle="Employé"/>
    <tableColumn id="113" name="Colonne17" dataDxfId="1534" totalsRowDxfId="1535" dataCellStyle="Employé"/>
    <tableColumn id="114" name="Colonne18" dataDxfId="1532" totalsRowDxfId="1533" dataCellStyle="Employé"/>
    <tableColumn id="115" name="Colonne19" dataDxfId="1530" totalsRowDxfId="1531" dataCellStyle="Employé"/>
    <tableColumn id="116" name="Colonne20" dataDxfId="1528" totalsRowDxfId="1529" dataCellStyle="Employé"/>
    <tableColumn id="117" name="Colonne21" dataDxfId="1526" totalsRowDxfId="1527" dataCellStyle="Employé"/>
    <tableColumn id="118" name="Colonne22" dataDxfId="1524" totalsRowDxfId="1525" dataCellStyle="Employé"/>
    <tableColumn id="119" name="Colonne23" dataDxfId="1522" totalsRowDxfId="1523" dataCellStyle="Employé"/>
    <tableColumn id="120" name="Colonne24" dataDxfId="1520" totalsRowDxfId="1521" dataCellStyle="Employé"/>
    <tableColumn id="121" name="Colonne25" dataDxfId="1518" totalsRowDxfId="1519" dataCellStyle="Employé"/>
    <tableColumn id="122" name="Colonne26" dataDxfId="1516" totalsRowDxfId="1517" dataCellStyle="Employé"/>
    <tableColumn id="123" name="Colonne27" dataDxfId="1514" totalsRowDxfId="1515" dataCellStyle="Employé"/>
    <tableColumn id="124" name="Colonne28" dataDxfId="1512" totalsRowDxfId="1513" dataCellStyle="Employé"/>
    <tableColumn id="125" name="Colonne29" dataDxfId="1510" totalsRowDxfId="1511" dataCellStyle="Employé"/>
    <tableColumn id="126" name="Colonne30" dataDxfId="1508" totalsRowDxfId="1509" dataCellStyle="Employé"/>
    <tableColumn id="127" name="Colonne31" dataDxfId="1506" totalsRowDxfId="1507" dataCellStyle="Employé"/>
    <tableColumn id="66" name="Colonne312" dataDxfId="1504" totalsRowDxfId="1505" dataCellStyle="Employé"/>
    <tableColumn id="67" name="Colonne313" dataDxfId="1502" totalsRowDxfId="1503" dataCellStyle="Employé"/>
    <tableColumn id="68" name="Colonne314" dataDxfId="1500" totalsRowDxfId="1501" dataCellStyle="Employé"/>
    <tableColumn id="69" name="Colonne315" dataDxfId="1498" totalsRowDxfId="1499" dataCellStyle="Employé"/>
    <tableColumn id="70" name="Colonne316" dataDxfId="1496" totalsRowDxfId="1497" dataCellStyle="Employé"/>
    <tableColumn id="71" name="Colonne317" dataDxfId="1494" totalsRowDxfId="1495" dataCellStyle="Employé"/>
    <tableColumn id="72" name="Colonne318" dataDxfId="1492" totalsRowDxfId="1493" dataCellStyle="Employé"/>
    <tableColumn id="73" name="Colonne319" dataDxfId="1490" totalsRowDxfId="1491" dataCellStyle="Employé"/>
    <tableColumn id="74" name="Colonne320" dataDxfId="1488" totalsRowDxfId="1489" dataCellStyle="Employé"/>
    <tableColumn id="75" name="Colonne321" dataDxfId="1486" totalsRowDxfId="1487" dataCellStyle="Employé"/>
    <tableColumn id="76" name="Colonne322" dataDxfId="1484" totalsRowDxfId="1485" dataCellStyle="Employé"/>
    <tableColumn id="77" name="Colonne323" dataDxfId="1482" totalsRowDxfId="1483" dataCellStyle="Employé"/>
    <tableColumn id="78" name="Colonne324" dataDxfId="1480" totalsRowDxfId="1481" dataCellStyle="Employé"/>
    <tableColumn id="79" name="Colonne325" dataDxfId="1478" totalsRowDxfId="1479" dataCellStyle="Employé"/>
    <tableColumn id="80" name="Colonne326" dataDxfId="1476" totalsRowDxfId="1477" dataCellStyle="Employé"/>
    <tableColumn id="81" name="Colonne327" dataDxfId="1474" totalsRowDxfId="1475" dataCellStyle="Employé"/>
    <tableColumn id="82" name="Colonne328" dataDxfId="1472" totalsRowDxfId="1473" dataCellStyle="Employé"/>
    <tableColumn id="83" name="Colonne329" dataDxfId="1470" totalsRowDxfId="1471" dataCellStyle="Employé"/>
    <tableColumn id="84" name="Colonne330" dataDxfId="1468" totalsRowDxfId="1469" dataCellStyle="Employé"/>
    <tableColumn id="85" name="Colonne331" dataDxfId="1466" totalsRowDxfId="1467" dataCellStyle="Employé"/>
    <tableColumn id="86" name="Colonne332" dataDxfId="1464" totalsRowDxfId="1465" dataCellStyle="Employé"/>
    <tableColumn id="87" name="Colonne333" dataDxfId="1462" totalsRowDxfId="1463" dataCellStyle="Employé"/>
    <tableColumn id="88" name="Colonne334" dataDxfId="1460" totalsRowDxfId="1461" dataCellStyle="Employé"/>
    <tableColumn id="89" name="Colonne335" dataDxfId="1458" totalsRowDxfId="1459" dataCellStyle="Employé"/>
    <tableColumn id="90" name="Colonne336" dataDxfId="1456" totalsRowDxfId="1457" dataCellStyle="Employé"/>
    <tableColumn id="91" name="Colonne337" dataDxfId="1454" totalsRowDxfId="1455" dataCellStyle="Employé"/>
    <tableColumn id="92" name="Colonne338" dataDxfId="1452" totalsRowDxfId="1453" dataCellStyle="Employé"/>
    <tableColumn id="93" name="Colonne339" dataDxfId="1450" totalsRowDxfId="1451" dataCellStyle="Employé"/>
    <tableColumn id="94" name="Colonne340" dataDxfId="1448" totalsRowDxfId="1449" dataCellStyle="Employé"/>
    <tableColumn id="95" name="Colonne341" dataDxfId="1446" totalsRowDxfId="1447" dataCellStyle="Employé"/>
    <tableColumn id="96" name="Colonne342" dataDxfId="1444" totalsRowDxfId="1445" dataCellStyle="Employé"/>
    <tableColumn id="2" name="Colonne343" totalsRowFunction="count" dataDxfId="1442" totalsRowDxfId="1443"/>
    <tableColumn id="3" name="Colonne344" totalsRowFunction="count" dataDxfId="1440" totalsRowDxfId="1441"/>
    <tableColumn id="4" name="Colonne345" totalsRowFunction="count" dataDxfId="1438" totalsRowDxfId="1439"/>
    <tableColumn id="5" name="Colonne346" totalsRowFunction="count" dataDxfId="1436" totalsRowDxfId="1437"/>
    <tableColumn id="6" name="Colonne347" totalsRowFunction="count" dataDxfId="1434" totalsRowDxfId="1435"/>
    <tableColumn id="7" name="Colonne348" totalsRowFunction="count" dataDxfId="1432" totalsRowDxfId="1433"/>
    <tableColumn id="8" name="Colonne349" totalsRowFunction="count" dataDxfId="1430" totalsRowDxfId="1431"/>
    <tableColumn id="9" name="Colonne350" totalsRowFunction="count" dataDxfId="1428" totalsRowDxfId="1429"/>
    <tableColumn id="10" name="Colonne351" totalsRowFunction="count" dataDxfId="1426" totalsRowDxfId="1427"/>
    <tableColumn id="11" name="Colonne352" totalsRowFunction="count" dataDxfId="1424" totalsRowDxfId="1425"/>
    <tableColumn id="12" name="Colonne353" totalsRowFunction="count" dataDxfId="1422" totalsRowDxfId="1423"/>
    <tableColumn id="13" name="Colonne354" totalsRowFunction="count" dataDxfId="1420" totalsRowDxfId="1421"/>
    <tableColumn id="14" name="Colonne355" totalsRowFunction="count" dataDxfId="1418" totalsRowDxfId="1419"/>
    <tableColumn id="15" name="Colonne356" totalsRowFunction="count" dataDxfId="1416" totalsRowDxfId="1417"/>
    <tableColumn id="16" name="Colonne357" totalsRowFunction="count" dataDxfId="1414" totalsRowDxfId="1415"/>
    <tableColumn id="17" name="Colonne358" totalsRowFunction="count" dataDxfId="1412" totalsRowDxfId="1413"/>
    <tableColumn id="18" name="Colonne359" totalsRowFunction="count" dataDxfId="1410" totalsRowDxfId="1411"/>
    <tableColumn id="19" name="Colonne360" totalsRowFunction="count" dataDxfId="1408" totalsRowDxfId="1409"/>
    <tableColumn id="20" name="Colonne361" totalsRowFunction="count" dataDxfId="1406" totalsRowDxfId="1407"/>
    <tableColumn id="21" name="Colonne362" totalsRowFunction="count" dataDxfId="1404" totalsRowDxfId="1405"/>
    <tableColumn id="22" name="Colonne363" totalsRowFunction="count" dataDxfId="1402" totalsRowDxfId="1403"/>
    <tableColumn id="23" name="Colonne364" totalsRowFunction="count" dataDxfId="1400" totalsRowDxfId="1401"/>
    <tableColumn id="24" name="Colonne365" totalsRowFunction="count" dataDxfId="1398" totalsRowDxfId="1399"/>
    <tableColumn id="25" name="Colonne366" totalsRowFunction="count" dataDxfId="1396" totalsRowDxfId="1397"/>
    <tableColumn id="26" name="Colonne367" totalsRowFunction="count" dataDxfId="1394" totalsRowDxfId="1395"/>
    <tableColumn id="27" name="Colonne368" totalsRowFunction="count" dataDxfId="1392" totalsRowDxfId="1393"/>
    <tableColumn id="28" name="Colonne369" totalsRowFunction="count" dataDxfId="1390" totalsRowDxfId="1391"/>
    <tableColumn id="29" name="Colonne370" totalsRowFunction="count" dataDxfId="1388" totalsRowDxfId="1389"/>
    <tableColumn id="30" name="Colonne371" totalsRowFunction="count" dataDxfId="1386" totalsRowDxfId="1387"/>
    <tableColumn id="31" name="Colonne372" totalsRowFunction="sum" dataDxfId="1384" totalsRowDxfId="1385"/>
    <tableColumn id="32" name="Colonne373" totalsRowFunction="sum" dataDxfId="1382" totalsRowDxfId="1383" dataCellStyle="Total"/>
    <tableColumn id="33" name="Colonne32" totalsRowFunction="sum" dataDxfId="1380" totalsRowDxfId="1381" dataCellStyle="Total">
      <calculatedColumnFormula>COUNTA(Juin24567[[#This Row],[Colonne343]:[Colonne373]])</calculatedColumnFormula>
    </tableColumn>
  </tableColumns>
  <tableStyleInfo name="Tableau des absences des employés" showFirstColumn="1" showLastColumn="1" showRowStripes="1" showColumnStripes="0"/>
</table>
</file>

<file path=xl/tables/table7.xml><?xml version="1.0" encoding="utf-8"?>
<table xmlns="http://schemas.openxmlformats.org/spreadsheetml/2006/main" id="7" name="Juin245678" displayName="Juin245678" ref="B10:CR17" headerRowCount="1" totalsRowCount="1" headerRowDxfId="1379" dataDxfId="1378" totalsRowDxfId="1377">
  <tableColumns count="95">
    <tableColumn id="1" name="Nom de la star" totalsRowFunction="custom" dataDxfId="1375" totalsRowDxfId="1376" dataCellStyle="Employé">
      <totalsRowFormula>NomMois&amp;" total"</totalsRowFormula>
    </tableColumn>
    <tableColumn id="97" name="Colonne1" dataDxfId="1373" totalsRowDxfId="1374" dataCellStyle="Employé"/>
    <tableColumn id="98" name="Colonne2" dataDxfId="1371" totalsRowDxfId="1372" dataCellStyle="Employé"/>
    <tableColumn id="99" name="Colonne3" dataDxfId="1369" totalsRowDxfId="1370" dataCellStyle="Employé"/>
    <tableColumn id="100" name="Colonne4" dataDxfId="1367" totalsRowDxfId="1368" dataCellStyle="Employé"/>
    <tableColumn id="101" name="Colonne5" dataDxfId="1365" totalsRowDxfId="1366" dataCellStyle="Employé"/>
    <tableColumn id="102" name="Colonne6" dataDxfId="1363" totalsRowDxfId="1364" dataCellStyle="Employé"/>
    <tableColumn id="103" name="Colonne7" dataDxfId="1361" totalsRowDxfId="1362" dataCellStyle="Employé"/>
    <tableColumn id="104" name="Colonne8" dataDxfId="1359" totalsRowDxfId="1360" dataCellStyle="Employé"/>
    <tableColumn id="105" name="Colonne9" dataDxfId="1357" totalsRowDxfId="1358" dataCellStyle="Employé"/>
    <tableColumn id="106" name="Colonne10" dataDxfId="1355" totalsRowDxfId="1356" dataCellStyle="Employé"/>
    <tableColumn id="107" name="Colonne11" dataDxfId="1353" totalsRowDxfId="1354" dataCellStyle="Employé"/>
    <tableColumn id="108" name="Colonne12" dataDxfId="1351" totalsRowDxfId="1352" dataCellStyle="Employé"/>
    <tableColumn id="109" name="Colonne13" dataDxfId="1349" totalsRowDxfId="1350" dataCellStyle="Employé"/>
    <tableColumn id="110" name="Colonne14" dataDxfId="1347" totalsRowDxfId="1348" dataCellStyle="Employé"/>
    <tableColumn id="111" name="Colonne15" dataDxfId="1345" totalsRowDxfId="1346" dataCellStyle="Employé"/>
    <tableColumn id="112" name="Colonne16" dataDxfId="1343" totalsRowDxfId="1344" dataCellStyle="Employé"/>
    <tableColumn id="113" name="Colonne17" dataDxfId="1341" totalsRowDxfId="1342" dataCellStyle="Employé"/>
    <tableColumn id="114" name="Colonne18" dataDxfId="1339" totalsRowDxfId="1340" dataCellStyle="Employé"/>
    <tableColumn id="115" name="Colonne19" dataDxfId="1337" totalsRowDxfId="1338" dataCellStyle="Employé"/>
    <tableColumn id="116" name="Colonne20" dataDxfId="1335" totalsRowDxfId="1336" dataCellStyle="Employé"/>
    <tableColumn id="117" name="Colonne21" dataDxfId="1333" totalsRowDxfId="1334" dataCellStyle="Employé"/>
    <tableColumn id="118" name="Colonne22" dataDxfId="1331" totalsRowDxfId="1332" dataCellStyle="Employé"/>
    <tableColumn id="119" name="Colonne23" dataDxfId="1329" totalsRowDxfId="1330" dataCellStyle="Employé"/>
    <tableColumn id="120" name="Colonne24" dataDxfId="1327" totalsRowDxfId="1328" dataCellStyle="Employé"/>
    <tableColumn id="121" name="Colonne25" dataDxfId="1325" totalsRowDxfId="1326" dataCellStyle="Employé"/>
    <tableColumn id="122" name="Colonne26" dataDxfId="1323" totalsRowDxfId="1324" dataCellStyle="Employé"/>
    <tableColumn id="123" name="Colonne27" dataDxfId="1321" totalsRowDxfId="1322" dataCellStyle="Employé"/>
    <tableColumn id="124" name="Colonne28" dataDxfId="1319" totalsRowDxfId="1320" dataCellStyle="Employé"/>
    <tableColumn id="125" name="Colonne29" dataDxfId="1317" totalsRowDxfId="1318" dataCellStyle="Employé"/>
    <tableColumn id="126" name="Colonne30" dataDxfId="1315" totalsRowDxfId="1316" dataCellStyle="Employé"/>
    <tableColumn id="127" name="Colonne31" dataDxfId="1313" totalsRowDxfId="1314" dataCellStyle="Employé"/>
    <tableColumn id="66" name="Colonne312" dataDxfId="1311" totalsRowDxfId="1312" dataCellStyle="Employé"/>
    <tableColumn id="67" name="Colonne313" dataDxfId="1309" totalsRowDxfId="1310" dataCellStyle="Employé"/>
    <tableColumn id="68" name="Colonne314" dataDxfId="1307" totalsRowDxfId="1308" dataCellStyle="Employé"/>
    <tableColumn id="69" name="Colonne315" dataDxfId="1305" totalsRowDxfId="1306" dataCellStyle="Employé"/>
    <tableColumn id="70" name="Colonne316" dataDxfId="1303" totalsRowDxfId="1304" dataCellStyle="Employé"/>
    <tableColumn id="71" name="Colonne317" dataDxfId="1301" totalsRowDxfId="1302" dataCellStyle="Employé"/>
    <tableColumn id="72" name="Colonne318" dataDxfId="1299" totalsRowDxfId="1300" dataCellStyle="Employé"/>
    <tableColumn id="73" name="Colonne319" dataDxfId="1297" totalsRowDxfId="1298" dataCellStyle="Employé"/>
    <tableColumn id="74" name="Colonne320" dataDxfId="1295" totalsRowDxfId="1296" dataCellStyle="Employé"/>
    <tableColumn id="75" name="Colonne321" dataDxfId="1293" totalsRowDxfId="1294" dataCellStyle="Employé"/>
    <tableColumn id="76" name="Colonne322" dataDxfId="1291" totalsRowDxfId="1292" dataCellStyle="Employé"/>
    <tableColumn id="77" name="Colonne323" dataDxfId="1289" totalsRowDxfId="1290" dataCellStyle="Employé"/>
    <tableColumn id="78" name="Colonne324" dataDxfId="1287" totalsRowDxfId="1288" dataCellStyle="Employé"/>
    <tableColumn id="79" name="Colonne325" dataDxfId="1285" totalsRowDxfId="1286" dataCellStyle="Employé"/>
    <tableColumn id="80" name="Colonne326" dataDxfId="1283" totalsRowDxfId="1284" dataCellStyle="Employé"/>
    <tableColumn id="81" name="Colonne327" dataDxfId="1281" totalsRowDxfId="1282" dataCellStyle="Employé"/>
    <tableColumn id="82" name="Colonne328" dataDxfId="1279" totalsRowDxfId="1280" dataCellStyle="Employé"/>
    <tableColumn id="83" name="Colonne329" dataDxfId="1277" totalsRowDxfId="1278" dataCellStyle="Employé"/>
    <tableColumn id="84" name="Colonne330" dataDxfId="1275" totalsRowDxfId="1276" dataCellStyle="Employé"/>
    <tableColumn id="85" name="Colonne331" dataDxfId="1273" totalsRowDxfId="1274" dataCellStyle="Employé"/>
    <tableColumn id="86" name="Colonne332" dataDxfId="1271" totalsRowDxfId="1272" dataCellStyle="Employé"/>
    <tableColumn id="87" name="Colonne333" dataDxfId="1269" totalsRowDxfId="1270" dataCellStyle="Employé"/>
    <tableColumn id="88" name="Colonne334" dataDxfId="1267" totalsRowDxfId="1268" dataCellStyle="Employé"/>
    <tableColumn id="89" name="Colonne335" dataDxfId="1265" totalsRowDxfId="1266" dataCellStyle="Employé"/>
    <tableColumn id="90" name="Colonne336" dataDxfId="1263" totalsRowDxfId="1264" dataCellStyle="Employé"/>
    <tableColumn id="91" name="Colonne337" dataDxfId="1261" totalsRowDxfId="1262" dataCellStyle="Employé"/>
    <tableColumn id="92" name="Colonne338" dataDxfId="1259" totalsRowDxfId="1260" dataCellStyle="Employé"/>
    <tableColumn id="93" name="Colonne339" dataDxfId="1257" totalsRowDxfId="1258" dataCellStyle="Employé"/>
    <tableColumn id="94" name="Colonne340" dataDxfId="1255" totalsRowDxfId="1256" dataCellStyle="Employé"/>
    <tableColumn id="95" name="Colonne341" dataDxfId="1253" totalsRowDxfId="1254" dataCellStyle="Employé"/>
    <tableColumn id="96" name="Colonne342" dataDxfId="1251" totalsRowDxfId="1252" dataCellStyle="Employé"/>
    <tableColumn id="2" name="Colonne343" totalsRowFunction="count" dataDxfId="1249" totalsRowDxfId="1250"/>
    <tableColumn id="3" name="Colonne344" totalsRowFunction="count" dataDxfId="1247" totalsRowDxfId="1248"/>
    <tableColumn id="4" name="Colonne345" totalsRowFunction="count" dataDxfId="1245" totalsRowDxfId="1246"/>
    <tableColumn id="5" name="Colonne346" totalsRowFunction="count" dataDxfId="1243" totalsRowDxfId="1244"/>
    <tableColumn id="6" name="Colonne347" totalsRowFunction="count" dataDxfId="1241" totalsRowDxfId="1242"/>
    <tableColumn id="7" name="Colonne348" totalsRowFunction="count" dataDxfId="1239" totalsRowDxfId="1240"/>
    <tableColumn id="8" name="Colonne349" totalsRowFunction="count" dataDxfId="1237" totalsRowDxfId="1238"/>
    <tableColumn id="9" name="Colonne350" totalsRowFunction="count" dataDxfId="1235" totalsRowDxfId="1236"/>
    <tableColumn id="10" name="Colonne351" totalsRowFunction="count" dataDxfId="1233" totalsRowDxfId="1234"/>
    <tableColumn id="11" name="Colonne352" totalsRowFunction="count" dataDxfId="1231" totalsRowDxfId="1232"/>
    <tableColumn id="12" name="Colonne353" totalsRowFunction="count" dataDxfId="1229" totalsRowDxfId="1230"/>
    <tableColumn id="13" name="Colonne354" totalsRowFunction="count" dataDxfId="1227" totalsRowDxfId="1228"/>
    <tableColumn id="14" name="Colonne355" totalsRowFunction="count" dataDxfId="1225" totalsRowDxfId="1226"/>
    <tableColumn id="15" name="Colonne356" totalsRowFunction="count" dataDxfId="1223" totalsRowDxfId="1224"/>
    <tableColumn id="16" name="Colonne357" totalsRowFunction="count" dataDxfId="1221" totalsRowDxfId="1222"/>
    <tableColumn id="17" name="Colonne358" totalsRowFunction="count" dataDxfId="1219" totalsRowDxfId="1220"/>
    <tableColumn id="18" name="Colonne359" totalsRowFunction="count" dataDxfId="1217" totalsRowDxfId="1218"/>
    <tableColumn id="19" name="Colonne360" totalsRowFunction="count" dataDxfId="1215" totalsRowDxfId="1216"/>
    <tableColumn id="20" name="Colonne361" totalsRowFunction="count" dataDxfId="1213" totalsRowDxfId="1214"/>
    <tableColumn id="21" name="Colonne362" totalsRowFunction="count" dataDxfId="1211" totalsRowDxfId="1212"/>
    <tableColumn id="22" name="Colonne363" totalsRowFunction="count" dataDxfId="1209" totalsRowDxfId="1210"/>
    <tableColumn id="23" name="Colonne364" totalsRowFunction="count" dataDxfId="1207" totalsRowDxfId="1208"/>
    <tableColumn id="24" name="Colonne365" totalsRowFunction="count" dataDxfId="1205" totalsRowDxfId="1206"/>
    <tableColumn id="25" name="Colonne366" totalsRowFunction="count" dataDxfId="1203" totalsRowDxfId="1204"/>
    <tableColumn id="26" name="Colonne367" totalsRowFunction="count" dataDxfId="1201" totalsRowDxfId="1202"/>
    <tableColumn id="27" name="Colonne368" totalsRowFunction="count" dataDxfId="1199" totalsRowDxfId="1200"/>
    <tableColumn id="28" name="Colonne369" totalsRowFunction="count" dataDxfId="1197" totalsRowDxfId="1198"/>
    <tableColumn id="29" name="Colonne370" totalsRowFunction="count" dataDxfId="1195" totalsRowDxfId="1196"/>
    <tableColumn id="30" name="Colonne371" totalsRowFunction="count" dataDxfId="1193" totalsRowDxfId="1194"/>
    <tableColumn id="31" name="Colonne372" totalsRowFunction="sum" dataDxfId="1191" totalsRowDxfId="1192"/>
    <tableColumn id="32" name="Colonne373" totalsRowFunction="sum" dataDxfId="1189" totalsRowDxfId="1190" dataCellStyle="Total"/>
    <tableColumn id="33" name="Colonne32" totalsRowFunction="sum" dataDxfId="1187" totalsRowDxfId="1188" dataCellStyle="Total">
      <calculatedColumnFormula>COUNTA(Juin245678[[#This Row],[Colonne343]:[Colonne373]])</calculatedColumnFormula>
    </tableColumn>
  </tableColumns>
  <tableStyleInfo name="Tableau des absences des employés" showFirstColumn="1" showLastColumn="1" showRowStripes="1" showColumnStripes="0"/>
</table>
</file>

<file path=xl/tables/table8.xml><?xml version="1.0" encoding="utf-8"?>
<table xmlns="http://schemas.openxmlformats.org/spreadsheetml/2006/main" id="8" name="Juin2456789" displayName="Juin2456789" ref="B10:CR17" headerRowCount="1" totalsRowCount="1" headerRowDxfId="1186" dataDxfId="1185" totalsRowDxfId="1184">
  <tableColumns count="95">
    <tableColumn id="1" name="Nom de la star" totalsRowFunction="custom" dataDxfId="1182" totalsRowDxfId="1183" dataCellStyle="Employé">
      <totalsRowFormula>NomMois&amp;" total"</totalsRowFormula>
    </tableColumn>
    <tableColumn id="97" name="Colonne1" dataDxfId="1180" totalsRowDxfId="1181" dataCellStyle="Employé"/>
    <tableColumn id="98" name="Colonne2" dataDxfId="1178" totalsRowDxfId="1179" dataCellStyle="Employé"/>
    <tableColumn id="99" name="Colonne3" dataDxfId="1176" totalsRowDxfId="1177" dataCellStyle="Employé"/>
    <tableColumn id="100" name="Colonne4" dataDxfId="1174" totalsRowDxfId="1175" dataCellStyle="Employé"/>
    <tableColumn id="101" name="Colonne5" dataDxfId="1172" totalsRowDxfId="1173" dataCellStyle="Employé"/>
    <tableColumn id="102" name="Colonne6" dataDxfId="1170" totalsRowDxfId="1171" dataCellStyle="Employé"/>
    <tableColumn id="103" name="Colonne7" dataDxfId="1168" totalsRowDxfId="1169" dataCellStyle="Employé"/>
    <tableColumn id="104" name="Colonne8" dataDxfId="1166" totalsRowDxfId="1167" dataCellStyle="Employé"/>
    <tableColumn id="105" name="Colonne9" dataDxfId="1164" totalsRowDxfId="1165" dataCellStyle="Employé"/>
    <tableColumn id="106" name="Colonne10" dataDxfId="1162" totalsRowDxfId="1163" dataCellStyle="Employé"/>
    <tableColumn id="107" name="Colonne11" dataDxfId="1160" totalsRowDxfId="1161" dataCellStyle="Employé"/>
    <tableColumn id="108" name="Colonne12" dataDxfId="1158" totalsRowDxfId="1159" dataCellStyle="Employé"/>
    <tableColumn id="109" name="Colonne13" dataDxfId="1156" totalsRowDxfId="1157" dataCellStyle="Employé"/>
    <tableColumn id="110" name="Colonne14" dataDxfId="1154" totalsRowDxfId="1155" dataCellStyle="Employé"/>
    <tableColumn id="111" name="Colonne15" dataDxfId="1152" totalsRowDxfId="1153" dataCellStyle="Employé"/>
    <tableColumn id="112" name="Colonne16" dataDxfId="1150" totalsRowDxfId="1151" dataCellStyle="Employé"/>
    <tableColumn id="113" name="Colonne17" dataDxfId="1148" totalsRowDxfId="1149" dataCellStyle="Employé"/>
    <tableColumn id="114" name="Colonne18" dataDxfId="1146" totalsRowDxfId="1147" dataCellStyle="Employé"/>
    <tableColumn id="115" name="Colonne19" dataDxfId="1144" totalsRowDxfId="1145" dataCellStyle="Employé"/>
    <tableColumn id="116" name="Colonne20" dataDxfId="1142" totalsRowDxfId="1143" dataCellStyle="Employé"/>
    <tableColumn id="117" name="Colonne21" dataDxfId="1140" totalsRowDxfId="1141" dataCellStyle="Employé"/>
    <tableColumn id="118" name="Colonne22" dataDxfId="1138" totalsRowDxfId="1139" dataCellStyle="Employé"/>
    <tableColumn id="119" name="Colonne23" dataDxfId="1136" totalsRowDxfId="1137" dataCellStyle="Employé"/>
    <tableColumn id="120" name="Colonne24" dataDxfId="1134" totalsRowDxfId="1135" dataCellStyle="Employé"/>
    <tableColumn id="121" name="Colonne25" dataDxfId="1132" totalsRowDxfId="1133" dataCellStyle="Employé"/>
    <tableColumn id="122" name="Colonne26" dataDxfId="1130" totalsRowDxfId="1131" dataCellStyle="Employé"/>
    <tableColumn id="123" name="Colonne27" dataDxfId="1128" totalsRowDxfId="1129" dataCellStyle="Employé"/>
    <tableColumn id="124" name="Colonne28" dataDxfId="1126" totalsRowDxfId="1127" dataCellStyle="Employé"/>
    <tableColumn id="125" name="Colonne29" dataDxfId="1124" totalsRowDxfId="1125" dataCellStyle="Employé"/>
    <tableColumn id="126" name="Colonne30" dataDxfId="1122" totalsRowDxfId="1123" dataCellStyle="Employé"/>
    <tableColumn id="127" name="Colonne31" dataDxfId="1120" totalsRowDxfId="1121" dataCellStyle="Employé"/>
    <tableColumn id="66" name="Colonne312" dataDxfId="1118" totalsRowDxfId="1119" dataCellStyle="Employé"/>
    <tableColumn id="67" name="Colonne313" dataDxfId="1116" totalsRowDxfId="1117" dataCellStyle="Employé"/>
    <tableColumn id="68" name="Colonne314" dataDxfId="1114" totalsRowDxfId="1115" dataCellStyle="Employé"/>
    <tableColumn id="69" name="Colonne315" dataDxfId="1112" totalsRowDxfId="1113" dataCellStyle="Employé"/>
    <tableColumn id="70" name="Colonne316" dataDxfId="1110" totalsRowDxfId="1111" dataCellStyle="Employé"/>
    <tableColumn id="71" name="Colonne317" dataDxfId="1108" totalsRowDxfId="1109" dataCellStyle="Employé"/>
    <tableColumn id="72" name="Colonne318" dataDxfId="1106" totalsRowDxfId="1107" dataCellStyle="Employé"/>
    <tableColumn id="73" name="Colonne319" dataDxfId="1104" totalsRowDxfId="1105" dataCellStyle="Employé"/>
    <tableColumn id="74" name="Colonne320" dataDxfId="1102" totalsRowDxfId="1103" dataCellStyle="Employé"/>
    <tableColumn id="75" name="Colonne321" dataDxfId="1100" totalsRowDxfId="1101" dataCellStyle="Employé"/>
    <tableColumn id="76" name="Colonne322" dataDxfId="1098" totalsRowDxfId="1099" dataCellStyle="Employé"/>
    <tableColumn id="77" name="Colonne323" dataDxfId="1096" totalsRowDxfId="1097" dataCellStyle="Employé"/>
    <tableColumn id="78" name="Colonne324" dataDxfId="1094" totalsRowDxfId="1095" dataCellStyle="Employé"/>
    <tableColumn id="79" name="Colonne325" dataDxfId="1092" totalsRowDxfId="1093" dataCellStyle="Employé"/>
    <tableColumn id="80" name="Colonne326" dataDxfId="1090" totalsRowDxfId="1091" dataCellStyle="Employé"/>
    <tableColumn id="81" name="Colonne327" dataDxfId="1088" totalsRowDxfId="1089" dataCellStyle="Employé"/>
    <tableColumn id="82" name="Colonne328" dataDxfId="1086" totalsRowDxfId="1087" dataCellStyle="Employé"/>
    <tableColumn id="83" name="Colonne329" dataDxfId="1084" totalsRowDxfId="1085" dataCellStyle="Employé"/>
    <tableColumn id="84" name="Colonne330" dataDxfId="1082" totalsRowDxfId="1083" dataCellStyle="Employé"/>
    <tableColumn id="85" name="Colonne331" dataDxfId="1080" totalsRowDxfId="1081" dataCellStyle="Employé"/>
    <tableColumn id="86" name="Colonne332" dataDxfId="1078" totalsRowDxfId="1079" dataCellStyle="Employé"/>
    <tableColumn id="87" name="Colonne333" dataDxfId="1076" totalsRowDxfId="1077" dataCellStyle="Employé"/>
    <tableColumn id="88" name="Colonne334" dataDxfId="1074" totalsRowDxfId="1075" dataCellStyle="Employé"/>
    <tableColumn id="89" name="Colonne335" dataDxfId="1072" totalsRowDxfId="1073" dataCellStyle="Employé"/>
    <tableColumn id="90" name="Colonne336" dataDxfId="1070" totalsRowDxfId="1071" dataCellStyle="Employé"/>
    <tableColumn id="91" name="Colonne337" dataDxfId="1068" totalsRowDxfId="1069" dataCellStyle="Employé"/>
    <tableColumn id="92" name="Colonne338" dataDxfId="1066" totalsRowDxfId="1067" dataCellStyle="Employé"/>
    <tableColumn id="93" name="Colonne339" dataDxfId="1064" totalsRowDxfId="1065" dataCellStyle="Employé"/>
    <tableColumn id="94" name="Colonne340" dataDxfId="1062" totalsRowDxfId="1063" dataCellStyle="Employé"/>
    <tableColumn id="95" name="Colonne341" dataDxfId="1060" totalsRowDxfId="1061" dataCellStyle="Employé"/>
    <tableColumn id="96" name="Colonne342" dataDxfId="1058" totalsRowDxfId="1059" dataCellStyle="Employé"/>
    <tableColumn id="2" name="Colonne343" totalsRowFunction="count" dataDxfId="1056" totalsRowDxfId="1057"/>
    <tableColumn id="3" name="Colonne344" totalsRowFunction="count" dataDxfId="1054" totalsRowDxfId="1055"/>
    <tableColumn id="4" name="Colonne345" totalsRowFunction="count" dataDxfId="1052" totalsRowDxfId="1053"/>
    <tableColumn id="5" name="Colonne346" totalsRowFunction="count" dataDxfId="1050" totalsRowDxfId="1051"/>
    <tableColumn id="6" name="Colonne347" totalsRowFunction="count" dataDxfId="1048" totalsRowDxfId="1049"/>
    <tableColumn id="7" name="Colonne348" totalsRowFunction="count" dataDxfId="1046" totalsRowDxfId="1047"/>
    <tableColumn id="8" name="Colonne349" totalsRowFunction="count" dataDxfId="1044" totalsRowDxfId="1045"/>
    <tableColumn id="9" name="Colonne350" totalsRowFunction="count" dataDxfId="1042" totalsRowDxfId="1043"/>
    <tableColumn id="10" name="Colonne351" totalsRowFunction="count" dataDxfId="1040" totalsRowDxfId="1041"/>
    <tableColumn id="11" name="Colonne352" totalsRowFunction="count" dataDxfId="1038" totalsRowDxfId="1039"/>
    <tableColumn id="12" name="Colonne353" totalsRowFunction="count" dataDxfId="1036" totalsRowDxfId="1037"/>
    <tableColumn id="13" name="Colonne354" totalsRowFunction="count" dataDxfId="1034" totalsRowDxfId="1035"/>
    <tableColumn id="14" name="Colonne355" totalsRowFunction="count" dataDxfId="1032" totalsRowDxfId="1033"/>
    <tableColumn id="15" name="Colonne356" totalsRowFunction="count" dataDxfId="1030" totalsRowDxfId="1031"/>
    <tableColumn id="16" name="Colonne357" totalsRowFunction="count" dataDxfId="1028" totalsRowDxfId="1029"/>
    <tableColumn id="17" name="Colonne358" totalsRowFunction="count" dataDxfId="1026" totalsRowDxfId="1027"/>
    <tableColumn id="18" name="Colonne359" totalsRowFunction="count" dataDxfId="1024" totalsRowDxfId="1025"/>
    <tableColumn id="19" name="Colonne360" totalsRowFunction="count" dataDxfId="1022" totalsRowDxfId="1023"/>
    <tableColumn id="20" name="Colonne361" totalsRowFunction="count" dataDxfId="1020" totalsRowDxfId="1021"/>
    <tableColumn id="21" name="Colonne362" totalsRowFunction="count" dataDxfId="1018" totalsRowDxfId="1019"/>
    <tableColumn id="22" name="Colonne363" totalsRowFunction="count" dataDxfId="1016" totalsRowDxfId="1017"/>
    <tableColumn id="23" name="Colonne364" totalsRowFunction="count" dataDxfId="1014" totalsRowDxfId="1015"/>
    <tableColumn id="24" name="Colonne365" totalsRowFunction="count" dataDxfId="1012" totalsRowDxfId="1013"/>
    <tableColumn id="25" name="Colonne366" totalsRowFunction="count" dataDxfId="1010" totalsRowDxfId="1011"/>
    <tableColumn id="26" name="Colonne367" totalsRowFunction="count" dataDxfId="1008" totalsRowDxfId="1009"/>
    <tableColumn id="27" name="Colonne368" totalsRowFunction="count" dataDxfId="1006" totalsRowDxfId="1007"/>
    <tableColumn id="28" name="Colonne369" totalsRowFunction="count" dataDxfId="1004" totalsRowDxfId="1005"/>
    <tableColumn id="29" name="Colonne370" totalsRowFunction="count" dataDxfId="1002" totalsRowDxfId="1003"/>
    <tableColumn id="30" name="Colonne371" totalsRowFunction="count" dataDxfId="1000" totalsRowDxfId="1001"/>
    <tableColumn id="31" name="Colonne372" totalsRowFunction="sum" dataDxfId="998" totalsRowDxfId="999"/>
    <tableColumn id="32" name="Colonne373" totalsRowFunction="sum" dataDxfId="996" totalsRowDxfId="997" dataCellStyle="Total"/>
    <tableColumn id="33" name="Colonne32" totalsRowFunction="sum" dataDxfId="994" totalsRowDxfId="995" dataCellStyle="Total">
      <calculatedColumnFormula>COUNTA(Juin2456789[[#This Row],[Colonne343]:[Colonne373]])</calculatedColumnFormula>
    </tableColumn>
  </tableColumns>
  <tableStyleInfo name="Tableau des absences des employés" showFirstColumn="1" showLastColumn="1" showRowStripes="1" showColumnStripes="0"/>
</table>
</file>

<file path=xl/tables/table9.xml><?xml version="1.0" encoding="utf-8"?>
<table xmlns="http://schemas.openxmlformats.org/spreadsheetml/2006/main" id="9" name="Juin245678910" displayName="Juin245678910" ref="B10:CR17" headerRowCount="1" totalsRowCount="1" headerRowDxfId="993" dataDxfId="992" totalsRowDxfId="991">
  <tableColumns count="95">
    <tableColumn id="1" name="Nom de la star" totalsRowFunction="custom" dataDxfId="989" totalsRowDxfId="990" dataCellStyle="Employé">
      <totalsRowFormula>NomMois&amp;" total"</totalsRowFormula>
    </tableColumn>
    <tableColumn id="97" name="Colonne1" dataDxfId="987" totalsRowDxfId="988" dataCellStyle="Employé"/>
    <tableColumn id="98" name="Colonne2" dataDxfId="985" totalsRowDxfId="986" dataCellStyle="Employé"/>
    <tableColumn id="99" name="Colonne3" dataDxfId="983" totalsRowDxfId="984" dataCellStyle="Employé"/>
    <tableColumn id="100" name="Colonne4" dataDxfId="981" totalsRowDxfId="982" dataCellStyle="Employé"/>
    <tableColumn id="101" name="Colonne5" dataDxfId="979" totalsRowDxfId="980" dataCellStyle="Employé"/>
    <tableColumn id="102" name="Colonne6" dataDxfId="977" totalsRowDxfId="978" dataCellStyle="Employé"/>
    <tableColumn id="103" name="Colonne7" dataDxfId="975" totalsRowDxfId="976" dataCellStyle="Employé"/>
    <tableColumn id="104" name="Colonne8" dataDxfId="973" totalsRowDxfId="974" dataCellStyle="Employé"/>
    <tableColumn id="105" name="Colonne9" dataDxfId="971" totalsRowDxfId="972" dataCellStyle="Employé"/>
    <tableColumn id="106" name="Colonne10" dataDxfId="969" totalsRowDxfId="970" dataCellStyle="Employé"/>
    <tableColumn id="107" name="Colonne11" dataDxfId="967" totalsRowDxfId="968" dataCellStyle="Employé"/>
    <tableColumn id="108" name="Colonne12" dataDxfId="965" totalsRowDxfId="966" dataCellStyle="Employé"/>
    <tableColumn id="109" name="Colonne13" dataDxfId="963" totalsRowDxfId="964" dataCellStyle="Employé"/>
    <tableColumn id="110" name="Colonne14" dataDxfId="961" totalsRowDxfId="962" dataCellStyle="Employé"/>
    <tableColumn id="111" name="Colonne15" dataDxfId="959" totalsRowDxfId="960" dataCellStyle="Employé"/>
    <tableColumn id="112" name="Colonne16" dataDxfId="957" totalsRowDxfId="958" dataCellStyle="Employé"/>
    <tableColumn id="113" name="Colonne17" dataDxfId="955" totalsRowDxfId="956" dataCellStyle="Employé"/>
    <tableColumn id="114" name="Colonne18" dataDxfId="953" totalsRowDxfId="954" dataCellStyle="Employé"/>
    <tableColumn id="115" name="Colonne19" dataDxfId="951" totalsRowDxfId="952" dataCellStyle="Employé"/>
    <tableColumn id="116" name="Colonne20" dataDxfId="949" totalsRowDxfId="950" dataCellStyle="Employé"/>
    <tableColumn id="117" name="Colonne21" dataDxfId="947" totalsRowDxfId="948" dataCellStyle="Employé"/>
    <tableColumn id="118" name="Colonne22" dataDxfId="945" totalsRowDxfId="946" dataCellStyle="Employé"/>
    <tableColumn id="119" name="Colonne23" dataDxfId="943" totalsRowDxfId="944" dataCellStyle="Employé"/>
    <tableColumn id="120" name="Colonne24" dataDxfId="941" totalsRowDxfId="942" dataCellStyle="Employé"/>
    <tableColumn id="121" name="Colonne25" dataDxfId="939" totalsRowDxfId="940" dataCellStyle="Employé"/>
    <tableColumn id="122" name="Colonne26" dataDxfId="937" totalsRowDxfId="938" dataCellStyle="Employé"/>
    <tableColumn id="123" name="Colonne27" dataDxfId="935" totalsRowDxfId="936" dataCellStyle="Employé"/>
    <tableColumn id="124" name="Colonne28" dataDxfId="933" totalsRowDxfId="934" dataCellStyle="Employé"/>
    <tableColumn id="125" name="Colonne29" dataDxfId="931" totalsRowDxfId="932" dataCellStyle="Employé"/>
    <tableColumn id="126" name="Colonne30" dataDxfId="929" totalsRowDxfId="930" dataCellStyle="Employé"/>
    <tableColumn id="127" name="Colonne31" dataDxfId="927" totalsRowDxfId="928" dataCellStyle="Employé"/>
    <tableColumn id="66" name="Colonne312" dataDxfId="925" totalsRowDxfId="926" dataCellStyle="Employé"/>
    <tableColumn id="67" name="Colonne313" dataDxfId="923" totalsRowDxfId="924" dataCellStyle="Employé"/>
    <tableColumn id="68" name="Colonne314" dataDxfId="921" totalsRowDxfId="922" dataCellStyle="Employé"/>
    <tableColumn id="69" name="Colonne315" dataDxfId="919" totalsRowDxfId="920" dataCellStyle="Employé"/>
    <tableColumn id="70" name="Colonne316" dataDxfId="917" totalsRowDxfId="918" dataCellStyle="Employé"/>
    <tableColumn id="71" name="Colonne317" dataDxfId="915" totalsRowDxfId="916" dataCellStyle="Employé"/>
    <tableColumn id="72" name="Colonne318" dataDxfId="913" totalsRowDxfId="914" dataCellStyle="Employé"/>
    <tableColumn id="73" name="Colonne319" dataDxfId="911" totalsRowDxfId="912" dataCellStyle="Employé"/>
    <tableColumn id="74" name="Colonne320" dataDxfId="909" totalsRowDxfId="910" dataCellStyle="Employé"/>
    <tableColumn id="75" name="Colonne321" dataDxfId="907" totalsRowDxfId="908" dataCellStyle="Employé"/>
    <tableColumn id="76" name="Colonne322" dataDxfId="905" totalsRowDxfId="906" dataCellStyle="Employé"/>
    <tableColumn id="77" name="Colonne323" dataDxfId="903" totalsRowDxfId="904" dataCellStyle="Employé"/>
    <tableColumn id="78" name="Colonne324" dataDxfId="901" totalsRowDxfId="902" dataCellStyle="Employé"/>
    <tableColumn id="79" name="Colonne325" dataDxfId="899" totalsRowDxfId="900" dataCellStyle="Employé"/>
    <tableColumn id="80" name="Colonne326" dataDxfId="897" totalsRowDxfId="898" dataCellStyle="Employé"/>
    <tableColumn id="81" name="Colonne327" dataDxfId="895" totalsRowDxfId="896" dataCellStyle="Employé"/>
    <tableColumn id="82" name="Colonne328" dataDxfId="893" totalsRowDxfId="894" dataCellStyle="Employé"/>
    <tableColumn id="83" name="Colonne329" dataDxfId="891" totalsRowDxfId="892" dataCellStyle="Employé"/>
    <tableColumn id="84" name="Colonne330" dataDxfId="889" totalsRowDxfId="890" dataCellStyle="Employé"/>
    <tableColumn id="85" name="Colonne331" dataDxfId="887" totalsRowDxfId="888" dataCellStyle="Employé"/>
    <tableColumn id="86" name="Colonne332" dataDxfId="885" totalsRowDxfId="886" dataCellStyle="Employé"/>
    <tableColumn id="87" name="Colonne333" dataDxfId="883" totalsRowDxfId="884" dataCellStyle="Employé"/>
    <tableColumn id="88" name="Colonne334" dataDxfId="881" totalsRowDxfId="882" dataCellStyle="Employé"/>
    <tableColumn id="89" name="Colonne335" dataDxfId="879" totalsRowDxfId="880" dataCellStyle="Employé"/>
    <tableColumn id="90" name="Colonne336" dataDxfId="877" totalsRowDxfId="878" dataCellStyle="Employé"/>
    <tableColumn id="91" name="Colonne337" dataDxfId="875" totalsRowDxfId="876" dataCellStyle="Employé"/>
    <tableColumn id="92" name="Colonne338" dataDxfId="873" totalsRowDxfId="874" dataCellStyle="Employé"/>
    <tableColumn id="93" name="Colonne339" dataDxfId="871" totalsRowDxfId="872" dataCellStyle="Employé"/>
    <tableColumn id="94" name="Colonne340" dataDxfId="869" totalsRowDxfId="870" dataCellStyle="Employé"/>
    <tableColumn id="95" name="Colonne341" dataDxfId="867" totalsRowDxfId="868" dataCellStyle="Employé"/>
    <tableColumn id="96" name="Colonne342" dataDxfId="865" totalsRowDxfId="866" dataCellStyle="Employé"/>
    <tableColumn id="2" name="Colonne343" totalsRowFunction="count" dataDxfId="863" totalsRowDxfId="864"/>
    <tableColumn id="3" name="Colonne344" totalsRowFunction="count" dataDxfId="861" totalsRowDxfId="862"/>
    <tableColumn id="4" name="Colonne345" totalsRowFunction="count" dataDxfId="859" totalsRowDxfId="860"/>
    <tableColumn id="5" name="Colonne346" totalsRowFunction="count" dataDxfId="857" totalsRowDxfId="858"/>
    <tableColumn id="6" name="Colonne347" totalsRowFunction="count" dataDxfId="855" totalsRowDxfId="856"/>
    <tableColumn id="7" name="Colonne348" totalsRowFunction="count" dataDxfId="853" totalsRowDxfId="854"/>
    <tableColumn id="8" name="Colonne349" totalsRowFunction="count" dataDxfId="851" totalsRowDxfId="852"/>
    <tableColumn id="9" name="Colonne350" totalsRowFunction="count" dataDxfId="849" totalsRowDxfId="850"/>
    <tableColumn id="10" name="Colonne351" totalsRowFunction="count" dataDxfId="847" totalsRowDxfId="848"/>
    <tableColumn id="11" name="Colonne352" totalsRowFunction="count" dataDxfId="845" totalsRowDxfId="846"/>
    <tableColumn id="12" name="Colonne353" totalsRowFunction="count" dataDxfId="843" totalsRowDxfId="844"/>
    <tableColumn id="13" name="Colonne354" totalsRowFunction="count" dataDxfId="841" totalsRowDxfId="842"/>
    <tableColumn id="14" name="Colonne355" totalsRowFunction="count" dataDxfId="839" totalsRowDxfId="840"/>
    <tableColumn id="15" name="Colonne356" totalsRowFunction="count" dataDxfId="837" totalsRowDxfId="838"/>
    <tableColumn id="16" name="Colonne357" totalsRowFunction="count" dataDxfId="835" totalsRowDxfId="836"/>
    <tableColumn id="17" name="Colonne358" totalsRowFunction="count" dataDxfId="833" totalsRowDxfId="834"/>
    <tableColumn id="18" name="Colonne359" totalsRowFunction="count" dataDxfId="831" totalsRowDxfId="832"/>
    <tableColumn id="19" name="Colonne360" totalsRowFunction="count" dataDxfId="829" totalsRowDxfId="830"/>
    <tableColumn id="20" name="Colonne361" totalsRowFunction="count" dataDxfId="827" totalsRowDxfId="828"/>
    <tableColumn id="21" name="Colonne362" totalsRowFunction="count" dataDxfId="825" totalsRowDxfId="826"/>
    <tableColumn id="22" name="Colonne363" totalsRowFunction="count" dataDxfId="823" totalsRowDxfId="824"/>
    <tableColumn id="23" name="Colonne364" totalsRowFunction="count" dataDxfId="821" totalsRowDxfId="822"/>
    <tableColumn id="24" name="Colonne365" totalsRowFunction="count" dataDxfId="819" totalsRowDxfId="820"/>
    <tableColumn id="25" name="Colonne366" totalsRowFunction="count" dataDxfId="817" totalsRowDxfId="818"/>
    <tableColumn id="26" name="Colonne367" totalsRowFunction="count" dataDxfId="815" totalsRowDxfId="816"/>
    <tableColumn id="27" name="Colonne368" totalsRowFunction="count" dataDxfId="813" totalsRowDxfId="814"/>
    <tableColumn id="28" name="Colonne369" totalsRowFunction="count" dataDxfId="811" totalsRowDxfId="812"/>
    <tableColumn id="29" name="Colonne370" totalsRowFunction="count" dataDxfId="809" totalsRowDxfId="810"/>
    <tableColumn id="30" name="Colonne371" totalsRowFunction="count" dataDxfId="807" totalsRowDxfId="808"/>
    <tableColumn id="31" name="Colonne372" totalsRowFunction="sum" dataDxfId="805" totalsRowDxfId="806"/>
    <tableColumn id="32" name="Colonne373" totalsRowFunction="sum" dataDxfId="803" totalsRowDxfId="804" dataCellStyle="Total"/>
    <tableColumn id="33" name="Colonne32" totalsRowFunction="sum" dataDxfId="801" totalsRowDxfId="802" dataCellStyle="Total">
      <calculatedColumnFormula>COUNTA(Juin245678910[[#This Row],[Colonne343]:[Colonne373]])</calculatedColumnFormula>
    </tableColumn>
  </tableColumns>
  <tableStyleInfo name="Tableau des absences des employés" showFirstColumn="1" showLastColumn="1" showRowStripes="1" showColumnStripes="0"/>
</table>
</file>

<file path=xl/tables/table10.xml><?xml version="1.0" encoding="utf-8"?>
<table xmlns="http://schemas.openxmlformats.org/spreadsheetml/2006/main" id="10" name="Juin24567891011" displayName="Juin24567891011" ref="B10:CR17" headerRowCount="1" totalsRowCount="1" headerRowDxfId="800" dataDxfId="799" totalsRowDxfId="798">
  <tableColumns count="95">
    <tableColumn id="1" name="Nom de la star" totalsRowFunction="custom" dataDxfId="796" totalsRowDxfId="797" dataCellStyle="Employé">
      <totalsRowFormula>NomMois&amp;" total"</totalsRowFormula>
    </tableColumn>
    <tableColumn id="97" name="Colonne1" dataDxfId="794" totalsRowDxfId="795" dataCellStyle="Employé"/>
    <tableColumn id="98" name="Colonne2" dataDxfId="792" totalsRowDxfId="793" dataCellStyle="Employé"/>
    <tableColumn id="99" name="Colonne3" dataDxfId="790" totalsRowDxfId="791" dataCellStyle="Employé"/>
    <tableColumn id="100" name="Colonne4" dataDxfId="788" totalsRowDxfId="789" dataCellStyle="Employé"/>
    <tableColumn id="101" name="Colonne5" dataDxfId="786" totalsRowDxfId="787" dataCellStyle="Employé"/>
    <tableColumn id="102" name="Colonne6" dataDxfId="784" totalsRowDxfId="785" dataCellStyle="Employé"/>
    <tableColumn id="103" name="Colonne7" dataDxfId="782" totalsRowDxfId="783" dataCellStyle="Employé"/>
    <tableColumn id="104" name="Colonne8" dataDxfId="780" totalsRowDxfId="781" dataCellStyle="Employé"/>
    <tableColumn id="105" name="Colonne9" dataDxfId="778" totalsRowDxfId="779" dataCellStyle="Employé"/>
    <tableColumn id="106" name="Colonne10" dataDxfId="776" totalsRowDxfId="777" dataCellStyle="Employé"/>
    <tableColumn id="107" name="Colonne11" dataDxfId="774" totalsRowDxfId="775" dataCellStyle="Employé"/>
    <tableColumn id="108" name="Colonne12" dataDxfId="772" totalsRowDxfId="773" dataCellStyle="Employé"/>
    <tableColumn id="109" name="Colonne13" dataDxfId="770" totalsRowDxfId="771" dataCellStyle="Employé"/>
    <tableColumn id="110" name="Colonne14" dataDxfId="768" totalsRowDxfId="769" dataCellStyle="Employé"/>
    <tableColumn id="111" name="Colonne15" dataDxfId="766" totalsRowDxfId="767" dataCellStyle="Employé"/>
    <tableColumn id="112" name="Colonne16" dataDxfId="764" totalsRowDxfId="765" dataCellStyle="Employé"/>
    <tableColumn id="113" name="Colonne17" dataDxfId="762" totalsRowDxfId="763" dataCellStyle="Employé"/>
    <tableColumn id="114" name="Colonne18" dataDxfId="760" totalsRowDxfId="761" dataCellStyle="Employé"/>
    <tableColumn id="115" name="Colonne19" dataDxfId="758" totalsRowDxfId="759" dataCellStyle="Employé"/>
    <tableColumn id="116" name="Colonne20" dataDxfId="756" totalsRowDxfId="757" dataCellStyle="Employé"/>
    <tableColumn id="117" name="Colonne21" dataDxfId="754" totalsRowDxfId="755" dataCellStyle="Employé"/>
    <tableColumn id="118" name="Colonne22" dataDxfId="752" totalsRowDxfId="753" dataCellStyle="Employé"/>
    <tableColumn id="119" name="Colonne23" dataDxfId="750" totalsRowDxfId="751" dataCellStyle="Employé"/>
    <tableColumn id="120" name="Colonne24" dataDxfId="748" totalsRowDxfId="749" dataCellStyle="Employé"/>
    <tableColumn id="121" name="Colonne25" dataDxfId="746" totalsRowDxfId="747" dataCellStyle="Employé"/>
    <tableColumn id="122" name="Colonne26" dataDxfId="744" totalsRowDxfId="745" dataCellStyle="Employé"/>
    <tableColumn id="123" name="Colonne27" dataDxfId="742" totalsRowDxfId="743" dataCellStyle="Employé"/>
    <tableColumn id="124" name="Colonne28" dataDxfId="740" totalsRowDxfId="741" dataCellStyle="Employé"/>
    <tableColumn id="125" name="Colonne29" dataDxfId="738" totalsRowDxfId="739" dataCellStyle="Employé"/>
    <tableColumn id="126" name="Colonne30" dataDxfId="736" totalsRowDxfId="737" dataCellStyle="Employé"/>
    <tableColumn id="127" name="Colonne31" dataDxfId="734" totalsRowDxfId="735" dataCellStyle="Employé"/>
    <tableColumn id="66" name="Colonne312" dataDxfId="732" totalsRowDxfId="733" dataCellStyle="Employé"/>
    <tableColumn id="67" name="Colonne313" dataDxfId="730" totalsRowDxfId="731" dataCellStyle="Employé"/>
    <tableColumn id="68" name="Colonne314" dataDxfId="728" totalsRowDxfId="729" dataCellStyle="Employé"/>
    <tableColumn id="69" name="Colonne315" dataDxfId="726" totalsRowDxfId="727" dataCellStyle="Employé"/>
    <tableColumn id="70" name="Colonne316" dataDxfId="724" totalsRowDxfId="725" dataCellStyle="Employé"/>
    <tableColumn id="71" name="Colonne317" dataDxfId="722" totalsRowDxfId="723" dataCellStyle="Employé"/>
    <tableColumn id="72" name="Colonne318" dataDxfId="720" totalsRowDxfId="721" dataCellStyle="Employé"/>
    <tableColumn id="73" name="Colonne319" dataDxfId="718" totalsRowDxfId="719" dataCellStyle="Employé"/>
    <tableColumn id="74" name="Colonne320" dataDxfId="716" totalsRowDxfId="717" dataCellStyle="Employé"/>
    <tableColumn id="75" name="Colonne321" dataDxfId="714" totalsRowDxfId="715" dataCellStyle="Employé"/>
    <tableColumn id="76" name="Colonne322" dataDxfId="712" totalsRowDxfId="713" dataCellStyle="Employé"/>
    <tableColumn id="77" name="Colonne323" dataDxfId="710" totalsRowDxfId="711" dataCellStyle="Employé"/>
    <tableColumn id="78" name="Colonne324" dataDxfId="708" totalsRowDxfId="709" dataCellStyle="Employé"/>
    <tableColumn id="79" name="Colonne325" dataDxfId="706" totalsRowDxfId="707" dataCellStyle="Employé"/>
    <tableColumn id="80" name="Colonne326" dataDxfId="704" totalsRowDxfId="705" dataCellStyle="Employé"/>
    <tableColumn id="81" name="Colonne327" dataDxfId="702" totalsRowDxfId="703" dataCellStyle="Employé"/>
    <tableColumn id="82" name="Colonne328" dataDxfId="700" totalsRowDxfId="701" dataCellStyle="Employé"/>
    <tableColumn id="83" name="Colonne329" dataDxfId="698" totalsRowDxfId="699" dataCellStyle="Employé"/>
    <tableColumn id="84" name="Colonne330" dataDxfId="696" totalsRowDxfId="697" dataCellStyle="Employé"/>
    <tableColumn id="85" name="Colonne331" dataDxfId="694" totalsRowDxfId="695" dataCellStyle="Employé"/>
    <tableColumn id="86" name="Colonne332" dataDxfId="692" totalsRowDxfId="693" dataCellStyle="Employé"/>
    <tableColumn id="87" name="Colonne333" dataDxfId="690" totalsRowDxfId="691" dataCellStyle="Employé"/>
    <tableColumn id="88" name="Colonne334" dataDxfId="688" totalsRowDxfId="689" dataCellStyle="Employé"/>
    <tableColumn id="89" name="Colonne335" dataDxfId="686" totalsRowDxfId="687" dataCellStyle="Employé"/>
    <tableColumn id="90" name="Colonne336" dataDxfId="684" totalsRowDxfId="685" dataCellStyle="Employé"/>
    <tableColumn id="91" name="Colonne337" dataDxfId="682" totalsRowDxfId="683" dataCellStyle="Employé"/>
    <tableColumn id="92" name="Colonne338" dataDxfId="680" totalsRowDxfId="681" dataCellStyle="Employé"/>
    <tableColumn id="93" name="Colonne339" dataDxfId="678" totalsRowDxfId="679" dataCellStyle="Employé"/>
    <tableColumn id="94" name="Colonne340" dataDxfId="676" totalsRowDxfId="677" dataCellStyle="Employé"/>
    <tableColumn id="95" name="Colonne341" dataDxfId="674" totalsRowDxfId="675" dataCellStyle="Employé"/>
    <tableColumn id="96" name="Colonne342" dataDxfId="672" totalsRowDxfId="673" dataCellStyle="Employé"/>
    <tableColumn id="2" name="Colonne343" totalsRowFunction="count" dataDxfId="670" totalsRowDxfId="671"/>
    <tableColumn id="3" name="Colonne344" totalsRowFunction="count" dataDxfId="668" totalsRowDxfId="669"/>
    <tableColumn id="4" name="Colonne345" totalsRowFunction="count" dataDxfId="666" totalsRowDxfId="667"/>
    <tableColumn id="5" name="Colonne346" totalsRowFunction="count" dataDxfId="664" totalsRowDxfId="665"/>
    <tableColumn id="6" name="Colonne347" totalsRowFunction="count" dataDxfId="662" totalsRowDxfId="663"/>
    <tableColumn id="7" name="Colonne348" totalsRowFunction="count" dataDxfId="660" totalsRowDxfId="661"/>
    <tableColumn id="8" name="Colonne349" totalsRowFunction="count" dataDxfId="658" totalsRowDxfId="659"/>
    <tableColumn id="9" name="Colonne350" totalsRowFunction="count" dataDxfId="656" totalsRowDxfId="657"/>
    <tableColumn id="10" name="Colonne351" totalsRowFunction="count" dataDxfId="654" totalsRowDxfId="655"/>
    <tableColumn id="11" name="Colonne352" totalsRowFunction="count" dataDxfId="652" totalsRowDxfId="653"/>
    <tableColumn id="12" name="Colonne353" totalsRowFunction="count" dataDxfId="650" totalsRowDxfId="651"/>
    <tableColumn id="13" name="Colonne354" totalsRowFunction="count" dataDxfId="648" totalsRowDxfId="649"/>
    <tableColumn id="14" name="Colonne355" totalsRowFunction="count" dataDxfId="646" totalsRowDxfId="647"/>
    <tableColumn id="15" name="Colonne356" totalsRowFunction="count" dataDxfId="644" totalsRowDxfId="645"/>
    <tableColumn id="16" name="Colonne357" totalsRowFunction="count" dataDxfId="642" totalsRowDxfId="643"/>
    <tableColumn id="17" name="Colonne358" totalsRowFunction="count" dataDxfId="640" totalsRowDxfId="641"/>
    <tableColumn id="18" name="Colonne359" totalsRowFunction="count" dataDxfId="638" totalsRowDxfId="639"/>
    <tableColumn id="19" name="Colonne360" totalsRowFunction="count" dataDxfId="636" totalsRowDxfId="637"/>
    <tableColumn id="20" name="Colonne361" totalsRowFunction="count" dataDxfId="634" totalsRowDxfId="635"/>
    <tableColumn id="21" name="Colonne362" totalsRowFunction="count" dataDxfId="632" totalsRowDxfId="633"/>
    <tableColumn id="22" name="Colonne363" totalsRowFunction="count" dataDxfId="630" totalsRowDxfId="631"/>
    <tableColumn id="23" name="Colonne364" totalsRowFunction="count" dataDxfId="628" totalsRowDxfId="629"/>
    <tableColumn id="24" name="Colonne365" totalsRowFunction="count" dataDxfId="626" totalsRowDxfId="627"/>
    <tableColumn id="25" name="Colonne366" totalsRowFunction="count" dataDxfId="624" totalsRowDxfId="625"/>
    <tableColumn id="26" name="Colonne367" totalsRowFunction="count" dataDxfId="622" totalsRowDxfId="623"/>
    <tableColumn id="27" name="Colonne368" totalsRowFunction="count" dataDxfId="620" totalsRowDxfId="621"/>
    <tableColumn id="28" name="Colonne369" totalsRowFunction="count" dataDxfId="618" totalsRowDxfId="619"/>
    <tableColumn id="29" name="Colonne370" totalsRowFunction="count" dataDxfId="616" totalsRowDxfId="617"/>
    <tableColumn id="30" name="Colonne371" totalsRowFunction="count" dataDxfId="614" totalsRowDxfId="615"/>
    <tableColumn id="31" name="Colonne372" totalsRowFunction="sum" dataDxfId="612" totalsRowDxfId="613"/>
    <tableColumn id="32" name="Colonne373" totalsRowFunction="sum" dataDxfId="610" totalsRowDxfId="611" dataCellStyle="Total"/>
    <tableColumn id="33" name="Colonne32" totalsRowFunction="sum" dataDxfId="608" totalsRowDxfId="609" dataCellStyle="Total">
      <calculatedColumnFormula>COUNTA(Juin24567891011[[#This Row],[Colonne343]:[Colonne373]])</calculatedColumnFormula>
    </tableColumn>
  </tableColumns>
  <tableStyleInfo name="Tableau des absences des employés" showFirstColumn="1" showLastColumn="1" showRowStripes="1" showColumnStripes="0"/>
</table>
</file>

<file path=xl/tables/table11.xml><?xml version="1.0" encoding="utf-8"?>
<table xmlns="http://schemas.openxmlformats.org/spreadsheetml/2006/main" id="11" name="Juin2456789101112" displayName="Juin2456789101112" ref="B10:CR17" headerRowCount="1" totalsRowCount="1" headerRowDxfId="607" dataDxfId="606" totalsRowDxfId="605">
  <tableColumns count="95">
    <tableColumn id="1" name="Nom de la star" totalsRowFunction="custom" dataDxfId="603" totalsRowDxfId="604" dataCellStyle="Employé">
      <totalsRowFormula>NomMois&amp;" total"</totalsRowFormula>
    </tableColumn>
    <tableColumn id="97" name="Colonne1" dataDxfId="601" totalsRowDxfId="602" dataCellStyle="Employé"/>
    <tableColumn id="98" name="Colonne2" dataDxfId="599" totalsRowDxfId="600" dataCellStyle="Employé"/>
    <tableColumn id="99" name="Colonne3" dataDxfId="597" totalsRowDxfId="598" dataCellStyle="Employé"/>
    <tableColumn id="100" name="Colonne4" dataDxfId="595" totalsRowDxfId="596" dataCellStyle="Employé"/>
    <tableColumn id="101" name="Colonne5" dataDxfId="593" totalsRowDxfId="594" dataCellStyle="Employé"/>
    <tableColumn id="102" name="Colonne6" dataDxfId="591" totalsRowDxfId="592" dataCellStyle="Employé"/>
    <tableColumn id="103" name="Colonne7" dataDxfId="589" totalsRowDxfId="590" dataCellStyle="Employé"/>
    <tableColumn id="104" name="Colonne8" dataDxfId="587" totalsRowDxfId="588" dataCellStyle="Employé"/>
    <tableColumn id="105" name="Colonne9" dataDxfId="585" totalsRowDxfId="586" dataCellStyle="Employé"/>
    <tableColumn id="106" name="Colonne10" dataDxfId="583" totalsRowDxfId="584" dataCellStyle="Employé"/>
    <tableColumn id="107" name="Colonne11" dataDxfId="581" totalsRowDxfId="582" dataCellStyle="Employé"/>
    <tableColumn id="108" name="Colonne12" dataDxfId="579" totalsRowDxfId="580" dataCellStyle="Employé"/>
    <tableColumn id="109" name="Colonne13" dataDxfId="577" totalsRowDxfId="578" dataCellStyle="Employé"/>
    <tableColumn id="110" name="Colonne14" dataDxfId="575" totalsRowDxfId="576" dataCellStyle="Employé"/>
    <tableColumn id="111" name="Colonne15" dataDxfId="573" totalsRowDxfId="574" dataCellStyle="Employé"/>
    <tableColumn id="112" name="Colonne16" dataDxfId="571" totalsRowDxfId="572" dataCellStyle="Employé"/>
    <tableColumn id="113" name="Colonne17" dataDxfId="569" totalsRowDxfId="570" dataCellStyle="Employé"/>
    <tableColumn id="114" name="Colonne18" dataDxfId="567" totalsRowDxfId="568" dataCellStyle="Employé"/>
    <tableColumn id="115" name="Colonne19" dataDxfId="565" totalsRowDxfId="566" dataCellStyle="Employé"/>
    <tableColumn id="116" name="Colonne20" dataDxfId="563" totalsRowDxfId="564" dataCellStyle="Employé"/>
    <tableColumn id="117" name="Colonne21" dataDxfId="561" totalsRowDxfId="562" dataCellStyle="Employé"/>
    <tableColumn id="118" name="Colonne22" dataDxfId="559" totalsRowDxfId="560" dataCellStyle="Employé"/>
    <tableColumn id="119" name="Colonne23" dataDxfId="557" totalsRowDxfId="558" dataCellStyle="Employé"/>
    <tableColumn id="120" name="Colonne24" dataDxfId="555" totalsRowDxfId="556" dataCellStyle="Employé"/>
    <tableColumn id="121" name="Colonne25" dataDxfId="553" totalsRowDxfId="554" dataCellStyle="Employé"/>
    <tableColumn id="122" name="Colonne26" dataDxfId="551" totalsRowDxfId="552" dataCellStyle="Employé"/>
    <tableColumn id="123" name="Colonne27" dataDxfId="549" totalsRowDxfId="550" dataCellStyle="Employé"/>
    <tableColumn id="124" name="Colonne28" dataDxfId="547" totalsRowDxfId="548" dataCellStyle="Employé"/>
    <tableColumn id="125" name="Colonne29" dataDxfId="545" totalsRowDxfId="546" dataCellStyle="Employé"/>
    <tableColumn id="126" name="Colonne30" dataDxfId="543" totalsRowDxfId="544" dataCellStyle="Employé"/>
    <tableColumn id="127" name="Colonne31" dataDxfId="541" totalsRowDxfId="542" dataCellStyle="Employé"/>
    <tableColumn id="66" name="Colonne312" dataDxfId="539" totalsRowDxfId="540" dataCellStyle="Employé"/>
    <tableColumn id="67" name="Colonne313" dataDxfId="537" totalsRowDxfId="538" dataCellStyle="Employé"/>
    <tableColumn id="68" name="Colonne314" dataDxfId="535" totalsRowDxfId="536" dataCellStyle="Employé"/>
    <tableColumn id="69" name="Colonne315" dataDxfId="533" totalsRowDxfId="534" dataCellStyle="Employé"/>
    <tableColumn id="70" name="Colonne316" dataDxfId="531" totalsRowDxfId="532" dataCellStyle="Employé"/>
    <tableColumn id="71" name="Colonne317" dataDxfId="529" totalsRowDxfId="530" dataCellStyle="Employé"/>
    <tableColumn id="72" name="Colonne318" dataDxfId="527" totalsRowDxfId="528" dataCellStyle="Employé"/>
    <tableColumn id="73" name="Colonne319" dataDxfId="525" totalsRowDxfId="526" dataCellStyle="Employé"/>
    <tableColumn id="74" name="Colonne320" dataDxfId="523" totalsRowDxfId="524" dataCellStyle="Employé"/>
    <tableColumn id="75" name="Colonne321" dataDxfId="521" totalsRowDxfId="522" dataCellStyle="Employé"/>
    <tableColumn id="76" name="Colonne322" dataDxfId="519" totalsRowDxfId="520" dataCellStyle="Employé"/>
    <tableColumn id="77" name="Colonne323" dataDxfId="517" totalsRowDxfId="518" dataCellStyle="Employé"/>
    <tableColumn id="78" name="Colonne324" dataDxfId="515" totalsRowDxfId="516" dataCellStyle="Employé"/>
    <tableColumn id="79" name="Colonne325" dataDxfId="513" totalsRowDxfId="514" dataCellStyle="Employé"/>
    <tableColumn id="80" name="Colonne326" dataDxfId="511" totalsRowDxfId="512" dataCellStyle="Employé"/>
    <tableColumn id="81" name="Colonne327" dataDxfId="509" totalsRowDxfId="510" dataCellStyle="Employé"/>
    <tableColumn id="82" name="Colonne328" dataDxfId="507" totalsRowDxfId="508" dataCellStyle="Employé"/>
    <tableColumn id="83" name="Colonne329" dataDxfId="505" totalsRowDxfId="506" dataCellStyle="Employé"/>
    <tableColumn id="84" name="Colonne330" dataDxfId="503" totalsRowDxfId="504" dataCellStyle="Employé"/>
    <tableColumn id="85" name="Colonne331" dataDxfId="501" totalsRowDxfId="502" dataCellStyle="Employé"/>
    <tableColumn id="86" name="Colonne332" dataDxfId="499" totalsRowDxfId="500" dataCellStyle="Employé"/>
    <tableColumn id="87" name="Colonne333" dataDxfId="497" totalsRowDxfId="498" dataCellStyle="Employé"/>
    <tableColumn id="88" name="Colonne334" dataDxfId="495" totalsRowDxfId="496" dataCellStyle="Employé"/>
    <tableColumn id="89" name="Colonne335" dataDxfId="493" totalsRowDxfId="494" dataCellStyle="Employé"/>
    <tableColumn id="90" name="Colonne336" dataDxfId="491" totalsRowDxfId="492" dataCellStyle="Employé"/>
    <tableColumn id="91" name="Colonne337" dataDxfId="489" totalsRowDxfId="490" dataCellStyle="Employé"/>
    <tableColumn id="92" name="Colonne338" dataDxfId="487" totalsRowDxfId="488" dataCellStyle="Employé"/>
    <tableColumn id="93" name="Colonne339" dataDxfId="485" totalsRowDxfId="486" dataCellStyle="Employé"/>
    <tableColumn id="94" name="Colonne340" dataDxfId="483" totalsRowDxfId="484" dataCellStyle="Employé"/>
    <tableColumn id="95" name="Colonne341" dataDxfId="481" totalsRowDxfId="482" dataCellStyle="Employé"/>
    <tableColumn id="96" name="Colonne342" dataDxfId="479" totalsRowDxfId="480" dataCellStyle="Employé"/>
    <tableColumn id="2" name="Colonne343" totalsRowFunction="count" dataDxfId="477" totalsRowDxfId="478"/>
    <tableColumn id="3" name="Colonne344" totalsRowFunction="count" dataDxfId="475" totalsRowDxfId="476"/>
    <tableColumn id="4" name="Colonne345" totalsRowFunction="count" dataDxfId="473" totalsRowDxfId="474"/>
    <tableColumn id="5" name="Colonne346" totalsRowFunction="count" dataDxfId="471" totalsRowDxfId="472"/>
    <tableColumn id="6" name="Colonne347" totalsRowFunction="count" dataDxfId="469" totalsRowDxfId="470"/>
    <tableColumn id="7" name="Colonne348" totalsRowFunction="count" dataDxfId="467" totalsRowDxfId="468"/>
    <tableColumn id="8" name="Colonne349" totalsRowFunction="count" dataDxfId="465" totalsRowDxfId="466"/>
    <tableColumn id="9" name="Colonne350" totalsRowFunction="count" dataDxfId="463" totalsRowDxfId="464"/>
    <tableColumn id="10" name="Colonne351" totalsRowFunction="count" dataDxfId="461" totalsRowDxfId="462"/>
    <tableColumn id="11" name="Colonne352" totalsRowFunction="count" dataDxfId="459" totalsRowDxfId="460"/>
    <tableColumn id="12" name="Colonne353" totalsRowFunction="count" dataDxfId="457" totalsRowDxfId="458"/>
    <tableColumn id="13" name="Colonne354" totalsRowFunction="count" dataDxfId="455" totalsRowDxfId="456"/>
    <tableColumn id="14" name="Colonne355" totalsRowFunction="count" dataDxfId="453" totalsRowDxfId="454"/>
    <tableColumn id="15" name="Colonne356" totalsRowFunction="count" dataDxfId="451" totalsRowDxfId="452"/>
    <tableColumn id="16" name="Colonne357" totalsRowFunction="count" dataDxfId="449" totalsRowDxfId="450"/>
    <tableColumn id="17" name="Colonne358" totalsRowFunction="count" dataDxfId="447" totalsRowDxfId="448"/>
    <tableColumn id="18" name="Colonne359" totalsRowFunction="count" dataDxfId="445" totalsRowDxfId="446"/>
    <tableColumn id="19" name="Colonne360" totalsRowFunction="count" dataDxfId="443" totalsRowDxfId="444"/>
    <tableColumn id="20" name="Colonne361" totalsRowFunction="count" dataDxfId="441" totalsRowDxfId="442"/>
    <tableColumn id="21" name="Colonne362" totalsRowFunction="count" dataDxfId="439" totalsRowDxfId="440"/>
    <tableColumn id="22" name="Colonne363" totalsRowFunction="count" dataDxfId="437" totalsRowDxfId="438"/>
    <tableColumn id="23" name="Colonne364" totalsRowFunction="count" dataDxfId="435" totalsRowDxfId="436"/>
    <tableColumn id="24" name="Colonne365" totalsRowFunction="count" dataDxfId="433" totalsRowDxfId="434"/>
    <tableColumn id="25" name="Colonne366" totalsRowFunction="count" dataDxfId="431" totalsRowDxfId="432"/>
    <tableColumn id="26" name="Colonne367" totalsRowFunction="count" dataDxfId="429" totalsRowDxfId="430"/>
    <tableColumn id="27" name="Colonne368" totalsRowFunction="count" dataDxfId="427" totalsRowDxfId="428"/>
    <tableColumn id="28" name="Colonne369" totalsRowFunction="count" dataDxfId="425" totalsRowDxfId="426"/>
    <tableColumn id="29" name="Colonne370" totalsRowFunction="count" dataDxfId="423" totalsRowDxfId="424"/>
    <tableColumn id="30" name="Colonne371" totalsRowFunction="count" dataDxfId="421" totalsRowDxfId="422"/>
    <tableColumn id="31" name="Colonne372" totalsRowFunction="sum" dataDxfId="419" totalsRowDxfId="420"/>
    <tableColumn id="32" name="Colonne373" totalsRowFunction="sum" dataDxfId="417" totalsRowDxfId="418" dataCellStyle="Total"/>
    <tableColumn id="33" name="Colonne32" totalsRowFunction="sum" dataDxfId="415" totalsRowDxfId="416" dataCellStyle="Total">
      <calculatedColumnFormula>COUNTA(Juin2456789101112[[#This Row],[Colonne343]:[Colonne373]])</calculatedColumnFormula>
    </tableColumn>
  </tableColumns>
  <tableStyleInfo name="Tableau des absences des employés" showFirstColumn="1" showLastColumn="1" showRowStripes="1" showColumnStripes="0"/>
</table>
</file>

<file path=xl/tables/table12.xml><?xml version="1.0" encoding="utf-8"?>
<table xmlns="http://schemas.openxmlformats.org/spreadsheetml/2006/main" id="12" name="Juin245678910111213" displayName="Juin245678910111213" ref="B10:CR17" headerRowCount="1" totalsRowCount="1" headerRowDxfId="414" dataDxfId="413" totalsRowDxfId="412">
  <tableColumns count="95">
    <tableColumn id="1" name="Nom de la star" totalsRowFunction="custom" dataDxfId="410" totalsRowDxfId="411" dataCellStyle="Employé">
      <totalsRowFormula>NomMois&amp;" total"</totalsRowFormula>
    </tableColumn>
    <tableColumn id="97" name="Colonne1" dataDxfId="408" totalsRowDxfId="409" dataCellStyle="Employé"/>
    <tableColumn id="98" name="Colonne2" dataDxfId="406" totalsRowDxfId="407" dataCellStyle="Employé"/>
    <tableColumn id="99" name="Colonne3" dataDxfId="404" totalsRowDxfId="405" dataCellStyle="Employé"/>
    <tableColumn id="100" name="Colonne4" dataDxfId="402" totalsRowDxfId="403" dataCellStyle="Employé"/>
    <tableColumn id="101" name="Colonne5" dataDxfId="400" totalsRowDxfId="401" dataCellStyle="Employé"/>
    <tableColumn id="102" name="Colonne6" dataDxfId="398" totalsRowDxfId="399" dataCellStyle="Employé"/>
    <tableColumn id="103" name="Colonne7" dataDxfId="396" totalsRowDxfId="397" dataCellStyle="Employé"/>
    <tableColumn id="104" name="Colonne8" dataDxfId="394" totalsRowDxfId="395" dataCellStyle="Employé"/>
    <tableColumn id="105" name="Colonne9" dataDxfId="392" totalsRowDxfId="393" dataCellStyle="Employé"/>
    <tableColumn id="106" name="Colonne10" dataDxfId="390" totalsRowDxfId="391" dataCellStyle="Employé"/>
    <tableColumn id="107" name="Colonne11" dataDxfId="388" totalsRowDxfId="389" dataCellStyle="Employé"/>
    <tableColumn id="108" name="Colonne12" dataDxfId="386" totalsRowDxfId="387" dataCellStyle="Employé"/>
    <tableColumn id="109" name="Colonne13" dataDxfId="384" totalsRowDxfId="385" dataCellStyle="Employé"/>
    <tableColumn id="110" name="Colonne14" dataDxfId="382" totalsRowDxfId="383" dataCellStyle="Employé"/>
    <tableColumn id="111" name="Colonne15" dataDxfId="380" totalsRowDxfId="381" dataCellStyle="Employé"/>
    <tableColumn id="112" name="Colonne16" dataDxfId="378" totalsRowDxfId="379" dataCellStyle="Employé"/>
    <tableColumn id="113" name="Colonne17" dataDxfId="376" totalsRowDxfId="377" dataCellStyle="Employé"/>
    <tableColumn id="114" name="Colonne18" dataDxfId="374" totalsRowDxfId="375" dataCellStyle="Employé"/>
    <tableColumn id="115" name="Colonne19" dataDxfId="372" totalsRowDxfId="373" dataCellStyle="Employé"/>
    <tableColumn id="116" name="Colonne20" dataDxfId="370" totalsRowDxfId="371" dataCellStyle="Employé"/>
    <tableColumn id="117" name="Colonne21" dataDxfId="368" totalsRowDxfId="369" dataCellStyle="Employé"/>
    <tableColumn id="118" name="Colonne22" dataDxfId="366" totalsRowDxfId="367" dataCellStyle="Employé"/>
    <tableColumn id="119" name="Colonne23" dataDxfId="364" totalsRowDxfId="365" dataCellStyle="Employé"/>
    <tableColumn id="120" name="Colonne24" dataDxfId="362" totalsRowDxfId="363" dataCellStyle="Employé"/>
    <tableColumn id="121" name="Colonne25" dataDxfId="360" totalsRowDxfId="361" dataCellStyle="Employé"/>
    <tableColumn id="122" name="Colonne26" dataDxfId="358" totalsRowDxfId="359" dataCellStyle="Employé"/>
    <tableColumn id="123" name="Colonne27" dataDxfId="356" totalsRowDxfId="357" dataCellStyle="Employé"/>
    <tableColumn id="124" name="Colonne28" dataDxfId="354" totalsRowDxfId="355" dataCellStyle="Employé"/>
    <tableColumn id="125" name="Colonne29" dataDxfId="352" totalsRowDxfId="353" dataCellStyle="Employé"/>
    <tableColumn id="126" name="Colonne30" dataDxfId="350" totalsRowDxfId="351" dataCellStyle="Employé"/>
    <tableColumn id="127" name="Colonne31" dataDxfId="348" totalsRowDxfId="349" dataCellStyle="Employé"/>
    <tableColumn id="66" name="Colonne312" dataDxfId="346" totalsRowDxfId="347" dataCellStyle="Employé"/>
    <tableColumn id="67" name="Colonne313" dataDxfId="344" totalsRowDxfId="345" dataCellStyle="Employé"/>
    <tableColumn id="68" name="Colonne314" dataDxfId="342" totalsRowDxfId="343" dataCellStyle="Employé"/>
    <tableColumn id="69" name="Colonne315" dataDxfId="340" totalsRowDxfId="341" dataCellStyle="Employé"/>
    <tableColumn id="70" name="Colonne316" dataDxfId="338" totalsRowDxfId="339" dataCellStyle="Employé"/>
    <tableColumn id="71" name="Colonne317" dataDxfId="336" totalsRowDxfId="337" dataCellStyle="Employé"/>
    <tableColumn id="72" name="Colonne318" dataDxfId="334" totalsRowDxfId="335" dataCellStyle="Employé"/>
    <tableColumn id="73" name="Colonne319" dataDxfId="332" totalsRowDxfId="333" dataCellStyle="Employé"/>
    <tableColumn id="74" name="Colonne320" dataDxfId="330" totalsRowDxfId="331" dataCellStyle="Employé"/>
    <tableColumn id="75" name="Colonne321" dataDxfId="328" totalsRowDxfId="329" dataCellStyle="Employé"/>
    <tableColumn id="76" name="Colonne322" dataDxfId="326" totalsRowDxfId="327" dataCellStyle="Employé"/>
    <tableColumn id="77" name="Colonne323" dataDxfId="324" totalsRowDxfId="325" dataCellStyle="Employé"/>
    <tableColumn id="78" name="Colonne324" dataDxfId="322" totalsRowDxfId="323" dataCellStyle="Employé"/>
    <tableColumn id="79" name="Colonne325" dataDxfId="320" totalsRowDxfId="321" dataCellStyle="Employé"/>
    <tableColumn id="80" name="Colonne326" dataDxfId="318" totalsRowDxfId="319" dataCellStyle="Employé"/>
    <tableColumn id="81" name="Colonne327" dataDxfId="316" totalsRowDxfId="317" dataCellStyle="Employé"/>
    <tableColumn id="82" name="Colonne328" dataDxfId="314" totalsRowDxfId="315" dataCellStyle="Employé"/>
    <tableColumn id="83" name="Colonne329" dataDxfId="312" totalsRowDxfId="313" dataCellStyle="Employé"/>
    <tableColumn id="84" name="Colonne330" dataDxfId="310" totalsRowDxfId="311" dataCellStyle="Employé"/>
    <tableColumn id="85" name="Colonne331" dataDxfId="308" totalsRowDxfId="309" dataCellStyle="Employé"/>
    <tableColumn id="86" name="Colonne332" dataDxfId="306" totalsRowDxfId="307" dataCellStyle="Employé"/>
    <tableColumn id="87" name="Colonne333" dataDxfId="304" totalsRowDxfId="305" dataCellStyle="Employé"/>
    <tableColumn id="88" name="Colonne334" dataDxfId="302" totalsRowDxfId="303" dataCellStyle="Employé"/>
    <tableColumn id="89" name="Colonne335" dataDxfId="300" totalsRowDxfId="301" dataCellStyle="Employé"/>
    <tableColumn id="90" name="Colonne336" dataDxfId="298" totalsRowDxfId="299" dataCellStyle="Employé"/>
    <tableColumn id="91" name="Colonne337" dataDxfId="296" totalsRowDxfId="297" dataCellStyle="Employé"/>
    <tableColumn id="92" name="Colonne338" dataDxfId="294" totalsRowDxfId="295" dataCellStyle="Employé"/>
    <tableColumn id="93" name="Colonne339" dataDxfId="292" totalsRowDxfId="293" dataCellStyle="Employé"/>
    <tableColumn id="94" name="Colonne340" dataDxfId="290" totalsRowDxfId="291" dataCellStyle="Employé"/>
    <tableColumn id="95" name="Colonne341" dataDxfId="288" totalsRowDxfId="289" dataCellStyle="Employé"/>
    <tableColumn id="96" name="Colonne342" dataDxfId="286" totalsRowDxfId="287" dataCellStyle="Employé"/>
    <tableColumn id="2" name="Colonne343" totalsRowFunction="count" dataDxfId="284" totalsRowDxfId="285"/>
    <tableColumn id="3" name="Colonne344" totalsRowFunction="count" dataDxfId="282" totalsRowDxfId="283"/>
    <tableColumn id="4" name="Colonne345" totalsRowFunction="count" dataDxfId="280" totalsRowDxfId="281"/>
    <tableColumn id="5" name="Colonne346" totalsRowFunction="count" dataDxfId="278" totalsRowDxfId="279"/>
    <tableColumn id="6" name="Colonne347" totalsRowFunction="count" dataDxfId="276" totalsRowDxfId="277"/>
    <tableColumn id="7" name="Colonne348" totalsRowFunction="count" dataDxfId="274" totalsRowDxfId="275"/>
    <tableColumn id="8" name="Colonne349" totalsRowFunction="count" dataDxfId="272" totalsRowDxfId="273"/>
    <tableColumn id="9" name="Colonne350" totalsRowFunction="count" dataDxfId="270" totalsRowDxfId="271"/>
    <tableColumn id="10" name="Colonne351" totalsRowFunction="count" dataDxfId="268" totalsRowDxfId="269"/>
    <tableColumn id="11" name="Colonne352" totalsRowFunction="count" dataDxfId="266" totalsRowDxfId="267"/>
    <tableColumn id="12" name="Colonne353" totalsRowFunction="count" dataDxfId="264" totalsRowDxfId="265"/>
    <tableColumn id="13" name="Colonne354" totalsRowFunction="count" dataDxfId="262" totalsRowDxfId="263"/>
    <tableColumn id="14" name="Colonne355" totalsRowFunction="count" dataDxfId="260" totalsRowDxfId="261"/>
    <tableColumn id="15" name="Colonne356" totalsRowFunction="count" dataDxfId="258" totalsRowDxfId="259"/>
    <tableColumn id="16" name="Colonne357" totalsRowFunction="count" dataDxfId="256" totalsRowDxfId="257"/>
    <tableColumn id="17" name="Colonne358" totalsRowFunction="count" dataDxfId="254" totalsRowDxfId="255"/>
    <tableColumn id="18" name="Colonne359" totalsRowFunction="count" dataDxfId="252" totalsRowDxfId="253"/>
    <tableColumn id="19" name="Colonne360" totalsRowFunction="count" dataDxfId="250" totalsRowDxfId="251"/>
    <tableColumn id="20" name="Colonne361" totalsRowFunction="count" dataDxfId="248" totalsRowDxfId="249"/>
    <tableColumn id="21" name="Colonne362" totalsRowFunction="count" dataDxfId="246" totalsRowDxfId="247"/>
    <tableColumn id="22" name="Colonne363" totalsRowFunction="count" dataDxfId="244" totalsRowDxfId="245"/>
    <tableColumn id="23" name="Colonne364" totalsRowFunction="count" dataDxfId="242" totalsRowDxfId="243"/>
    <tableColumn id="24" name="Colonne365" totalsRowFunction="count" dataDxfId="240" totalsRowDxfId="241"/>
    <tableColumn id="25" name="Colonne366" totalsRowFunction="count" dataDxfId="238" totalsRowDxfId="239"/>
    <tableColumn id="26" name="Colonne367" totalsRowFunction="count" dataDxfId="236" totalsRowDxfId="237"/>
    <tableColumn id="27" name="Colonne368" totalsRowFunction="count" dataDxfId="234" totalsRowDxfId="235"/>
    <tableColumn id="28" name="Colonne369" totalsRowFunction="count" dataDxfId="232" totalsRowDxfId="233"/>
    <tableColumn id="29" name="Colonne370" totalsRowFunction="count" dataDxfId="230" totalsRowDxfId="231"/>
    <tableColumn id="30" name="Colonne371" totalsRowFunction="count" dataDxfId="228" totalsRowDxfId="229"/>
    <tableColumn id="31" name="Colonne372" totalsRowFunction="sum" dataDxfId="226" totalsRowDxfId="227"/>
    <tableColumn id="32" name="Colonne373" totalsRowFunction="sum" dataDxfId="224" totalsRowDxfId="225" dataCellStyle="Total"/>
    <tableColumn id="33" name="Colonne32" totalsRowFunction="sum" dataDxfId="222" totalsRowDxfId="223" dataCellStyle="Total">
      <calculatedColumnFormula>COUNTA(Juin245678910111213[[#This Row],[Colonne343]:[Colonne373]])</calculatedColumnFormula>
    </tableColumn>
  </tableColumns>
  <tableStyleInfo name="Tableau des absences des employés" showFirstColumn="1" showLastColumn="1" showRowStripes="1" showColumnStripes="0"/>
</table>
</file>

<file path=xl/tables/table13.xml><?xml version="1.0" encoding="utf-8"?>
<table xmlns="http://schemas.openxmlformats.org/spreadsheetml/2006/main" id="13" name="NomEmployé" displayName="NomEmployé" ref="B3:B9" headerRowCount="1" totalsRowShown="0">
  <autoFilter ref="B3:B9"/>
  <tableColumns count="1">
    <tableColumn id="1" name="Noms des employés" dataCellStyle="Employé"/>
  </tableColumns>
  <tableStyleInfo name="Tableau des absences des employés" showFirstColumn="1" showLastColumn="1" showRowStripes="1" showColumnStripes="0"/>
</table>
</file>

<file path=xl/theme/theme1.xml><?xml version="1.0" encoding="utf-8"?>
<a:theme xmlns:a="http://schemas.openxmlformats.org/drawingml/2006/main" name="Office Theme">
  <a:themeElements>
    <a:clrScheme name="TM03987167">
      <a:dk1>
        <a:srgbClr val="000000"/>
      </a:dk1>
      <a:lt1>
        <a:srgbClr val="FFFFFF"/>
      </a:lt1>
      <a:dk2>
        <a:srgbClr val="44546A"/>
      </a:dk2>
      <a:lt2>
        <a:srgbClr val="E7E6E6"/>
      </a:lt2>
      <a:accent1>
        <a:srgbClr val="1F452F"/>
      </a:accent1>
      <a:accent2>
        <a:srgbClr val="709A97"/>
      </a:accent2>
      <a:accent3>
        <a:srgbClr val="1B417C"/>
      </a:accent3>
      <a:accent4>
        <a:srgbClr val="D8A141"/>
      </a:accent4>
      <a:accent5>
        <a:srgbClr val="CAAFF3"/>
      </a:accent5>
      <a:accent6>
        <a:srgbClr val="EF5C37"/>
      </a:accent6>
      <a:hlink>
        <a:srgbClr val="0563C1"/>
      </a:hlink>
      <a:folHlink>
        <a:srgbClr val="954F72"/>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BF5" sqref="BF5"/>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Janvier</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TEXT(WEEKDAY(DATE(CalendarYear,6,4),1),"jjj")</f>
        <v/>
      </c>
      <c r="D7" s="47" t="n"/>
      <c r="E7" s="47" t="n"/>
      <c r="F7" s="47">
        <f>TEXT(WEEKDAY(DATE(CalendarYear,6,5),1),"jjj")</f>
        <v/>
      </c>
      <c r="G7" s="47" t="n"/>
      <c r="H7" s="47" t="n"/>
      <c r="I7" s="47">
        <f>TEXT(WEEKDAY(DATE(CalendarYear,6,6),1),"jjj")</f>
        <v/>
      </c>
      <c r="J7" s="47" t="n"/>
      <c r="K7" s="47" t="n"/>
      <c r="L7" s="47">
        <f>TEXT(WEEKDAY(DATE(CalendarYear,6,7),1),"jjj")</f>
        <v/>
      </c>
      <c r="M7" s="47" t="n"/>
      <c r="N7" s="47" t="n"/>
      <c r="O7" s="47">
        <f>TEXT(WEEKDAY(DATE(CalendarYear,6,1),1),"jjj")</f>
        <v/>
      </c>
      <c r="P7" s="47" t="n"/>
      <c r="Q7" s="47" t="n"/>
      <c r="R7" s="47">
        <f>TEXT(WEEKDAY(DATE(CalendarYear,6,2),1),"jjj")</f>
        <v/>
      </c>
      <c r="S7" s="47" t="n"/>
      <c r="T7" s="47" t="n"/>
      <c r="U7" s="47">
        <f>TEXT(WEEKDAY(DATE(CalendarYear,6,3),1),"jjj")</f>
        <v/>
      </c>
      <c r="V7" s="47" t="n"/>
      <c r="W7" s="47" t="n"/>
      <c r="X7" s="47">
        <f>TEXT(WEEKDAY(DATE(CalendarYear,6,4),1),"jjj")</f>
        <v/>
      </c>
      <c r="Y7" s="47" t="n"/>
      <c r="Z7" s="47" t="n"/>
      <c r="AA7" s="47">
        <f>TEXT(WEEKDAY(DATE(CalendarYear,6,5),1),"jjj")</f>
        <v/>
      </c>
      <c r="AB7" s="47" t="n"/>
      <c r="AC7" s="47" t="n"/>
      <c r="AD7" s="47">
        <f>TEXT(WEEKDAY(DATE(CalendarYear,6,6),1),"jjj")</f>
        <v/>
      </c>
      <c r="AE7" s="47" t="n"/>
      <c r="AF7" s="47" t="n"/>
      <c r="AG7" s="47">
        <f>TEXT(WEEKDAY(DATE(CalendarYear,6,7),1),"jjj")</f>
        <v/>
      </c>
      <c r="AH7" s="47" t="n"/>
      <c r="AI7" s="47" t="n"/>
      <c r="AJ7" s="47">
        <f>TEXT(WEEKDAY(DATE(CalendarYear,6,1),1),"jjj")</f>
        <v/>
      </c>
      <c r="AK7" s="47" t="n"/>
      <c r="AL7" s="47" t="n"/>
      <c r="AM7" s="47">
        <f>TEXT(WEEKDAY(DATE(CalendarYear,6,2),1),"jjj")</f>
        <v/>
      </c>
      <c r="AN7" s="47" t="n"/>
      <c r="AO7" s="47" t="n"/>
      <c r="AP7" s="47">
        <f>TEXT(WEEKDAY(DATE(CalendarYear,6,3),1),"jjj")</f>
        <v/>
      </c>
      <c r="AQ7" s="47" t="n"/>
      <c r="AR7" s="47" t="n"/>
      <c r="AS7" s="47">
        <f>TEXT(WEEKDAY(DATE(CalendarYear,6,4),1),"jjj")</f>
        <v/>
      </c>
      <c r="AT7" s="47" t="n"/>
      <c r="AU7" s="47" t="n"/>
      <c r="AV7" s="47">
        <f>TEXT(WEEKDAY(DATE(CalendarYear,6,5),1),"jjj")</f>
        <v/>
      </c>
      <c r="AW7" s="47" t="n"/>
      <c r="AX7" s="47" t="n"/>
      <c r="AY7" s="47">
        <f>TEXT(WEEKDAY(DATE(CalendarYear,6,6),1),"jjj")</f>
        <v/>
      </c>
      <c r="AZ7" s="47" t="n"/>
      <c r="BA7" s="47" t="n"/>
      <c r="BB7" s="47">
        <f>TEXT(WEEKDAY(DATE(CalendarYear,6,7),1),"jjj")</f>
        <v/>
      </c>
      <c r="BC7" s="47" t="n"/>
      <c r="BD7" s="47" t="n"/>
      <c r="BE7" s="47">
        <f>TEXT(WEEKDAY(DATE(CalendarYear,6,1),1),"jjj")</f>
        <v/>
      </c>
      <c r="BF7" s="47" t="n"/>
      <c r="BG7" s="47" t="n"/>
      <c r="BH7" s="47">
        <f>TEXT(WEEKDAY(DATE(CalendarYear,6,2),1),"jjj")</f>
        <v/>
      </c>
      <c r="BI7" s="47" t="n"/>
      <c r="BJ7" s="47" t="n"/>
      <c r="BK7" s="47">
        <f>TEXT(WEEKDAY(DATE(CalendarYear,6,3),1),"jjj")</f>
        <v/>
      </c>
      <c r="BL7" s="47" t="n"/>
      <c r="BM7" s="47" t="n"/>
      <c r="BN7" s="47">
        <f>TEXT(WEEKDAY(DATE(CalendarYear,6,4),1),"jjj")</f>
        <v/>
      </c>
      <c r="BO7" s="47" t="n"/>
      <c r="BP7" s="47" t="n"/>
      <c r="BQ7" s="47">
        <f>TEXT(WEEKDAY(DATE(CalendarYear,6,5),1),"jjj")</f>
        <v/>
      </c>
      <c r="BR7" s="47" t="n"/>
      <c r="BS7" s="47" t="n"/>
      <c r="BT7" s="47">
        <f>TEXT(WEEKDAY(DATE(CalendarYear,6,6),1),"jjj")</f>
        <v/>
      </c>
      <c r="BU7" s="47" t="n"/>
      <c r="BV7" s="47" t="n"/>
      <c r="BW7" s="47">
        <f>TEXT(WEEKDAY(DATE(CalendarYear,6,7),1),"jjj")</f>
        <v/>
      </c>
      <c r="BX7" s="47" t="n"/>
      <c r="BY7" s="47" t="n"/>
      <c r="BZ7" s="47">
        <f>TEXT(WEEKDAY(DATE(CalendarYear,6,1),1),"jjj")</f>
        <v/>
      </c>
      <c r="CA7" s="47" t="n"/>
      <c r="CB7" s="47" t="n"/>
      <c r="CC7" s="47">
        <f>TEXT(WEEKDAY(DATE(CalendarYear,6,2),1),"jjj")</f>
        <v/>
      </c>
      <c r="CD7" s="47" t="n"/>
      <c r="CE7" s="47" t="n"/>
      <c r="CF7" s="47">
        <f>TEXT(WEEKDAY(DATE(CalendarYear,6,3),1),"jjj")</f>
        <v/>
      </c>
      <c r="CG7" s="47" t="n"/>
      <c r="CH7" s="47" t="n"/>
      <c r="CI7" s="47">
        <f>TEXT(WEEKDAY(DATE(CalendarYear,6,4),1),"jjj")</f>
        <v/>
      </c>
      <c r="CJ7" s="47" t="n"/>
      <c r="CK7" s="47" t="n"/>
      <c r="CL7" s="47">
        <f>TEXT(WEEKDAY(DATE(CalendarYear,6,5),1),"jjj")</f>
        <v/>
      </c>
      <c r="CM7" s="47" t="n"/>
      <c r="CN7" s="47" t="n"/>
      <c r="CO7" s="47">
        <f>TEXT(WEEKDAY(DATE(CalendarYear,6,6),1),"jjj")</f>
        <v/>
      </c>
      <c r="CP7" s="47" t="n"/>
      <c r="CQ7" s="47" t="n"/>
      <c r="CR7" s="47">
        <f>TEXT(WEEKDAY(DATE(CalendarYear,6,7),1),"jjj")</f>
        <v/>
      </c>
      <c r="CS7" s="47" t="n"/>
      <c r="CT7" s="47" t="n"/>
      <c r="CU7" s="47">
        <f>TEXT(WEEKDAY(DATE(CalendarYear,6,1),1),"jjj")</f>
        <v/>
      </c>
      <c r="CV7" s="47" t="n"/>
      <c r="CW7" s="47" t="n"/>
      <c r="CX7" s="47">
        <f>TEXT(WEEKDAY(DATE(CalendarYear,6,2),1),"jjj")</f>
        <v/>
      </c>
      <c r="CY7" s="47" t="n"/>
      <c r="CZ7" s="47" t="n"/>
      <c r="DA7" s="47">
        <f>TEXT(WEEKDAY(DATE(CalendarYear,6,3),1),"jjj")</f>
        <v/>
      </c>
      <c r="DB7" s="47" t="n"/>
      <c r="DC7" s="47" t="n"/>
      <c r="DD7" s="47" t="n"/>
      <c r="DG7" s="47" t="n"/>
      <c r="DJ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31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SUBTOTAL(103,Juin2[Colonne343])</f>
        <v/>
      </c>
      <c r="BN17" s="59">
        <f>SUBTOTAL(103,Juin2[Colonne344])</f>
        <v/>
      </c>
      <c r="BO17" s="59">
        <f>SUBTOTAL(103,Juin2[Colonne345])</f>
        <v/>
      </c>
      <c r="BP17" s="59">
        <f>SUBTOTAL(103,Juin2[Colonne346])</f>
        <v/>
      </c>
      <c r="BQ17" s="59">
        <f>SUBTOTAL(103,Juin2[Colonne347])</f>
        <v/>
      </c>
      <c r="BR17" s="59">
        <f>SUBTOTAL(103,Juin2[Colonne348])</f>
        <v/>
      </c>
      <c r="BS17" s="59">
        <f>SUBTOTAL(103,Juin2[Colonne349])</f>
        <v/>
      </c>
      <c r="BT17" s="59">
        <f>SUBTOTAL(103,Juin2[Colonne350])</f>
        <v/>
      </c>
      <c r="BU17" s="59">
        <f>SUBTOTAL(103,Juin2[Colonne351])</f>
        <v/>
      </c>
      <c r="BV17" s="59">
        <f>SUBTOTAL(103,Juin2[Colonne352])</f>
        <v/>
      </c>
      <c r="BW17" s="59">
        <f>SUBTOTAL(103,Juin2[Colonne353])</f>
        <v/>
      </c>
      <c r="BX17" s="59">
        <f>SUBTOTAL(103,Juin2[Colonne354])</f>
        <v/>
      </c>
      <c r="BY17" s="59">
        <f>SUBTOTAL(103,Juin2[Colonne355])</f>
        <v/>
      </c>
      <c r="BZ17" s="59">
        <f>SUBTOTAL(103,Juin2[Colonne356])</f>
        <v/>
      </c>
      <c r="CA17" s="59">
        <f>SUBTOTAL(103,Juin2[Colonne357])</f>
        <v/>
      </c>
      <c r="CB17" s="59">
        <f>SUBTOTAL(103,Juin2[Colonne358])</f>
        <v/>
      </c>
      <c r="CC17" s="59">
        <f>SUBTOTAL(103,Juin2[Colonne359])</f>
        <v/>
      </c>
      <c r="CD17" s="59">
        <f>SUBTOTAL(103,Juin2[Colonne360])</f>
        <v/>
      </c>
      <c r="CE17" s="59">
        <f>SUBTOTAL(103,Juin2[Colonne361])</f>
        <v/>
      </c>
      <c r="CF17" s="59">
        <f>SUBTOTAL(103,Juin2[Colonne362])</f>
        <v/>
      </c>
      <c r="CG17" s="59">
        <f>SUBTOTAL(103,Juin2[Colonne363])</f>
        <v/>
      </c>
      <c r="CH17" s="59">
        <f>SUBTOTAL(103,Juin2[Colonne364])</f>
        <v/>
      </c>
      <c r="CI17" s="59">
        <f>SUBTOTAL(103,Juin2[Colonne365])</f>
        <v/>
      </c>
      <c r="CJ17" s="59">
        <f>SUBTOTAL(103,Juin2[Colonne366])</f>
        <v/>
      </c>
      <c r="CK17" s="59">
        <f>SUBTOTAL(103,Juin2[Colonne367])</f>
        <v/>
      </c>
      <c r="CL17" s="59">
        <f>SUBTOTAL(103,Juin2[Colonne368])</f>
        <v/>
      </c>
      <c r="CM17" s="59">
        <f>SUBTOTAL(103,Juin2[Colonne369])</f>
        <v/>
      </c>
      <c r="CN17" s="59">
        <f>SUBTOTAL(103,Juin2[Colonne370])</f>
        <v/>
      </c>
      <c r="CO17" s="59">
        <f>SUBTOTAL(103,Juin2[Colonne371])</f>
        <v/>
      </c>
      <c r="CP17" s="59">
        <f>SUBTOTAL(109,Juin2[Colonne372])</f>
        <v/>
      </c>
      <c r="CQ17" s="59">
        <f>SUBTOTAL(109,Juin2[Colonne373])</f>
        <v/>
      </c>
      <c r="CR17" s="59">
        <f>SUBTOTAL(109,Juin2[Colonne32])</f>
        <v/>
      </c>
    </row>
    <row r="18" ht="26.25" customHeight="1" s="55">
      <c r="B18" s="25" t="inlineStr">
        <is>
          <t xml:space="preserve">repetition chez/concert </t>
        </is>
      </c>
      <c r="W18" s="26" t="n"/>
    </row>
    <row r="19" ht="30" customHeight="1" s="55">
      <c r="B19" s="23" t="inlineStr">
        <is>
          <t>heure</t>
        </is>
      </c>
    </row>
  </sheetData>
  <mergeCells count="47">
    <mergeCell ref="CL8:CN8"/>
    <mergeCell ref="DS7:DU7"/>
    <mergeCell ref="L8:N8"/>
    <mergeCell ref="F8:H8"/>
    <mergeCell ref="BH8:BJ8"/>
    <mergeCell ref="AS8:AU8"/>
    <mergeCell ref="CI8:CK8"/>
    <mergeCell ref="BT8:BV8"/>
    <mergeCell ref="BK8:BM8"/>
    <mergeCell ref="AD4:AG4"/>
    <mergeCell ref="DD7:DF7"/>
    <mergeCell ref="C8:E8"/>
    <mergeCell ref="I8:K8"/>
    <mergeCell ref="Y4:AB4"/>
    <mergeCell ref="G4:I4"/>
    <mergeCell ref="BE8:BG8"/>
    <mergeCell ref="O8:Q8"/>
    <mergeCell ref="U8:W8"/>
    <mergeCell ref="CF8:CH8"/>
    <mergeCell ref="BQ8:BS8"/>
    <mergeCell ref="BW8:BY8"/>
    <mergeCell ref="DG7:DI7"/>
    <mergeCell ref="C6:AG6"/>
    <mergeCell ref="T4:W4"/>
    <mergeCell ref="DM7:DO7"/>
    <mergeCell ref="AH6:AK6"/>
    <mergeCell ref="AA8:AC8"/>
    <mergeCell ref="AG8:AI8"/>
    <mergeCell ref="D4:E4"/>
    <mergeCell ref="R8:T8"/>
    <mergeCell ref="CC8:CE8"/>
    <mergeCell ref="AD8:AF8"/>
    <mergeCell ref="BN8:BP8"/>
    <mergeCell ref="AM8:AO8"/>
    <mergeCell ref="CO8:CQ8"/>
    <mergeCell ref="BZ8:CB8"/>
    <mergeCell ref="O4:R4"/>
    <mergeCell ref="DJ7:DL7"/>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 sqref="C4" showDropDown="0" showInputMessage="1" showErrorMessage="1" allowBlank="1" prompt="La lettre « C » indique une absence pour cause de congé"/>
    <dataValidation sqref="F4" showDropDown="0" showInputMessage="1" showErrorMessage="1" allowBlank="1" prompt="La lettre « P » indique une absence pour motifs personnels"/>
    <dataValidation sqref="J4" showDropDown="0" showInputMessage="1" showErrorMessage="1" allowBlank="1" prompt="La lettre « M » indique une absence pour cause de maladie"/>
    <dataValidation sqref="N4 S4" showDropDown="0" showInputMessage="1" showErrorMessage="1" allowBlank="1" prompt="Entrez une lettre et personnalisez l’étiquette à droite pour ajouter un élément de clé"/>
    <dataValidation sqref="O4 T4" showDropDown="0" showInputMessage="1" showErrorMessage="1" allowBlank="1" prompt="Entrez une étiquette pour décrire la clé personnalisée à gauche"/>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B2" showDropDown="0" showInputMessage="1" showErrorMessage="1" allowBlank="1" prompt="Le titre mis à jour automatiquement figure dans cette cellule. Pour modifier le titre, mettez à jour la cellule B1 de la feuille de calcul Janvier"/>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C8:C9 F9 I9 L9 O7 O9 R9 U9 X9 AA9 AD9 AG9 AJ7 AJ9 AM9 AP9 AS9 AV9 AY9 BB9 BE7 BE9 BH9 BK9 BN9 BQ9 BT9 BW9 BZ7 BZ9 CC9 CF9 CI9 CL9 CO9 CU7"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B1" showDropDown="0" showInputMessage="1" showErrorMessage="1" allowBlank="1" prompt="Le titre de la feuille de calcul figure dans cette cellule. "/>
    <dataValidation sqref="AH6" showDropDown="0" showInputMessage="1" showErrorMessage="1" allowBlank="1" prompt="Année mise à jour automatiquement en fonction de l’année entrée dans la feuille de calcul Janvier"/>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2.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CS4" sqref="CS4"/>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Janvier</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TEXT(WEEKDAY(DATE(CalendarYear,6,7),1),"jjj")</f>
        <v/>
      </c>
      <c r="D7" s="47" t="n"/>
      <c r="E7" s="47" t="n"/>
      <c r="F7" s="47">
        <f>TEXT(WEEKDAY(DATE(CalendarYear,6,1),1),"jjj")</f>
        <v/>
      </c>
      <c r="G7" s="47" t="n"/>
      <c r="H7" s="47" t="n"/>
      <c r="I7" s="47">
        <f>TEXT(WEEKDAY(DATE(CalendarYear,6,2),1),"jjj")</f>
        <v/>
      </c>
      <c r="J7" s="47" t="n"/>
      <c r="K7" s="47" t="n"/>
      <c r="L7" s="47">
        <f>TEXT(WEEKDAY(DATE(CalendarYear,6,3),1),"jjj")</f>
        <v/>
      </c>
      <c r="M7" s="47" t="n"/>
      <c r="N7" s="47" t="n"/>
      <c r="O7" s="47">
        <f>TEXT(WEEKDAY(DATE(CalendarYear,6,4),1),"jjj")</f>
        <v/>
      </c>
      <c r="P7" s="47" t="n"/>
      <c r="Q7" s="47" t="n"/>
      <c r="R7" s="47">
        <f>TEXT(WEEKDAY(DATE(CalendarYear,6,5),1),"jjj")</f>
        <v/>
      </c>
      <c r="S7" s="47" t="n"/>
      <c r="T7" s="47" t="n"/>
      <c r="U7" s="47">
        <f>TEXT(WEEKDAY(DATE(CalendarYear,6,6),1),"jjj")</f>
        <v/>
      </c>
      <c r="V7" s="47" t="n"/>
      <c r="W7" s="47" t="n"/>
      <c r="X7" s="47">
        <f>TEXT(WEEKDAY(DATE(CalendarYear,6,7),1),"jjj")</f>
        <v/>
      </c>
      <c r="Y7" s="47" t="n"/>
      <c r="Z7" s="47" t="n"/>
      <c r="AA7" s="47">
        <f>TEXT(WEEKDAY(DATE(CalendarYear,6,1),1),"jjj")</f>
        <v/>
      </c>
      <c r="AB7" s="47" t="n"/>
      <c r="AC7" s="47" t="n"/>
      <c r="AD7" s="47">
        <f>TEXT(WEEKDAY(DATE(CalendarYear,6,2),1),"jjj")</f>
        <v/>
      </c>
      <c r="AE7" s="47" t="n"/>
      <c r="AF7" s="47" t="n"/>
      <c r="AG7" s="47">
        <f>TEXT(WEEKDAY(DATE(CalendarYear,6,3),1),"jjj")</f>
        <v/>
      </c>
      <c r="AH7" s="47" t="n"/>
      <c r="AI7" s="47" t="n"/>
      <c r="AJ7" s="47">
        <f>TEXT(WEEKDAY(DATE(CalendarYear,6,4),1),"jjj")</f>
        <v/>
      </c>
      <c r="AK7" s="47" t="n"/>
      <c r="AL7" s="47" t="n"/>
      <c r="AM7" s="47">
        <f>TEXT(WEEKDAY(DATE(CalendarYear,6,5),1),"jjj")</f>
        <v/>
      </c>
      <c r="AN7" s="47" t="n"/>
      <c r="AO7" s="47" t="n"/>
      <c r="AP7" s="47">
        <f>TEXT(WEEKDAY(DATE(CalendarYear,6,6),1),"jjj")</f>
        <v/>
      </c>
      <c r="AQ7" s="47" t="n"/>
      <c r="AR7" s="47" t="n"/>
      <c r="AS7" s="47">
        <f>TEXT(WEEKDAY(DATE(CalendarYear,6,7),1),"jjj")</f>
        <v/>
      </c>
      <c r="AT7" s="47" t="n"/>
      <c r="AU7" s="47" t="n"/>
      <c r="AV7" s="47">
        <f>TEXT(WEEKDAY(DATE(CalendarYear,6,1),1),"jjj")</f>
        <v/>
      </c>
      <c r="AW7" s="47" t="n"/>
      <c r="AX7" s="47" t="n"/>
      <c r="AY7" s="47">
        <f>TEXT(WEEKDAY(DATE(CalendarYear,6,2),1),"jjj")</f>
        <v/>
      </c>
      <c r="AZ7" s="47" t="n"/>
      <c r="BA7" s="47" t="n"/>
      <c r="BB7" s="47">
        <f>TEXT(WEEKDAY(DATE(CalendarYear,6,3),1),"jjj")</f>
        <v/>
      </c>
      <c r="BC7" s="47" t="n"/>
      <c r="BD7" s="47" t="n"/>
      <c r="BE7" s="47">
        <f>TEXT(WEEKDAY(DATE(CalendarYear,6,4),1),"jjj")</f>
        <v/>
      </c>
      <c r="BF7" s="47" t="n"/>
      <c r="BG7" s="47" t="n"/>
      <c r="BH7" s="47">
        <f>TEXT(WEEKDAY(DATE(CalendarYear,6,5),1),"jjj")</f>
        <v/>
      </c>
      <c r="BI7" s="47" t="n"/>
      <c r="BJ7" s="47" t="n"/>
      <c r="BK7" s="47">
        <f>TEXT(WEEKDAY(DATE(CalendarYear,6,6),1),"jjj")</f>
        <v/>
      </c>
      <c r="BL7" s="47" t="n"/>
      <c r="BM7" s="47" t="n"/>
      <c r="BN7" s="47">
        <f>TEXT(WEEKDAY(DATE(CalendarYear,6,7),1),"jjj")</f>
        <v/>
      </c>
      <c r="BO7" s="47" t="n"/>
      <c r="BP7" s="47" t="n"/>
      <c r="BQ7" s="47">
        <f>TEXT(WEEKDAY(DATE(CalendarYear,6,1),1),"jjj")</f>
        <v/>
      </c>
      <c r="BR7" s="47" t="n"/>
      <c r="BS7" s="47" t="n"/>
      <c r="BT7" s="47">
        <f>TEXT(WEEKDAY(DATE(CalendarYear,6,2),1),"jjj")</f>
        <v/>
      </c>
      <c r="BU7" s="47" t="n"/>
      <c r="BV7" s="47" t="n"/>
      <c r="BW7" s="47">
        <f>TEXT(WEEKDAY(DATE(CalendarYear,6,3),1),"jjj")</f>
        <v/>
      </c>
      <c r="BX7" s="47" t="n"/>
      <c r="BY7" s="47" t="n"/>
      <c r="BZ7" s="47">
        <f>TEXT(WEEKDAY(DATE(CalendarYear,6,4),1),"jjj")</f>
        <v/>
      </c>
      <c r="CA7" s="47" t="n"/>
      <c r="CB7" s="47" t="n"/>
      <c r="CC7" s="47">
        <f>TEXT(WEEKDAY(DATE(CalendarYear,6,5),1),"jjj")</f>
        <v/>
      </c>
      <c r="CD7" s="47" t="n"/>
      <c r="CE7" s="47" t="n"/>
      <c r="CF7" s="47">
        <f>TEXT(WEEKDAY(DATE(CalendarYear,6,6),1),"jjj")</f>
        <v/>
      </c>
      <c r="CG7" s="47" t="n"/>
      <c r="CH7" s="47" t="n"/>
      <c r="CI7" s="47">
        <f>TEXT(WEEKDAY(DATE(CalendarYear,6,7),1),"jjj")</f>
        <v/>
      </c>
      <c r="CJ7" s="47" t="n"/>
      <c r="CK7" s="47" t="n"/>
      <c r="CL7" s="47">
        <f>TEXT(WEEKDAY(DATE(CalendarYear,6,1),1),"jjj")</f>
        <v/>
      </c>
      <c r="CM7" s="47" t="n"/>
      <c r="CN7" s="47" t="n"/>
      <c r="CO7" s="47">
        <f>TEXT(WEEKDAY(DATE(CalendarYear,6,2),1),"jjj")</f>
        <v/>
      </c>
      <c r="CP7" s="47" t="n"/>
      <c r="CQ7" s="47" t="n"/>
      <c r="CR7" s="47">
        <f>TEXT(WEEKDAY(DATE(CalendarYear,6,3),1),"jjj")</f>
        <v/>
      </c>
      <c r="CS7" s="47" t="n"/>
      <c r="CT7" s="47" t="n"/>
      <c r="CU7" s="47">
        <f>TEXT(WEEKDAY(DATE(CalendarYear,6,4),1),"jjj")</f>
        <v/>
      </c>
      <c r="CV7" s="47" t="n"/>
      <c r="CW7" s="47" t="n"/>
      <c r="CX7" s="47">
        <f>TEXT(WEEKDAY(DATE(CalendarYear,6,5),1),"jjj")</f>
        <v/>
      </c>
      <c r="CY7" s="47" t="n"/>
      <c r="CZ7" s="47" t="n"/>
      <c r="DA7" s="47">
        <f>TEXT(WEEKDAY(DATE(CalendarYear,6,6),1),"jjj")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n">
        <v>1</v>
      </c>
      <c r="CK8" s="58" t="n"/>
      <c r="CL8" s="57" t="n">
        <v>2</v>
      </c>
      <c r="CN8" s="58" t="n"/>
      <c r="CO8" s="57" t="n">
        <v>3</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COUNTA(Juin23[[#This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COUNTA(Juin23[[#This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COUNTA(Juin23[[#This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COUNTA(Juin23[[#This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COUNTA(Juin23[[#This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COUNTA(Juin23[[#This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SUBTOTAL(103,Juin23[Colonne343])</f>
        <v/>
      </c>
      <c r="BN17" s="59">
        <f>SUBTOTAL(103,Juin23[Colonne344])</f>
        <v/>
      </c>
      <c r="BO17" s="59">
        <f>SUBTOTAL(103,Juin23[Colonne345])</f>
        <v/>
      </c>
      <c r="BP17" s="59">
        <f>SUBTOTAL(103,Juin23[Colonne346])</f>
        <v/>
      </c>
      <c r="BQ17" s="59">
        <f>SUBTOTAL(103,Juin23[Colonne347])</f>
        <v/>
      </c>
      <c r="BR17" s="59">
        <f>SUBTOTAL(103,Juin23[Colonne348])</f>
        <v/>
      </c>
      <c r="BS17" s="59">
        <f>SUBTOTAL(103,Juin23[Colonne349])</f>
        <v/>
      </c>
      <c r="BT17" s="59">
        <f>SUBTOTAL(103,Juin23[Colonne350])</f>
        <v/>
      </c>
      <c r="BU17" s="59">
        <f>SUBTOTAL(103,Juin23[Colonne351])</f>
        <v/>
      </c>
      <c r="BV17" s="59">
        <f>SUBTOTAL(103,Juin23[Colonne352])</f>
        <v/>
      </c>
      <c r="BW17" s="59">
        <f>SUBTOTAL(103,Juin23[Colonne353])</f>
        <v/>
      </c>
      <c r="BX17" s="59">
        <f>SUBTOTAL(103,Juin23[Colonne354])</f>
        <v/>
      </c>
      <c r="BY17" s="59">
        <f>SUBTOTAL(103,Juin23[Colonne355])</f>
        <v/>
      </c>
      <c r="BZ17" s="59">
        <f>SUBTOTAL(103,Juin23[Colonne356])</f>
        <v/>
      </c>
      <c r="CA17" s="59">
        <f>SUBTOTAL(103,Juin23[Colonne357])</f>
        <v/>
      </c>
      <c r="CB17" s="59">
        <f>SUBTOTAL(103,Juin23[Colonne358])</f>
        <v/>
      </c>
      <c r="CC17" s="59">
        <f>SUBTOTAL(103,Juin23[Colonne359])</f>
        <v/>
      </c>
      <c r="CD17" s="59">
        <f>SUBTOTAL(103,Juin23[Colonne360])</f>
        <v/>
      </c>
      <c r="CE17" s="59">
        <f>SUBTOTAL(103,Juin23[Colonne361])</f>
        <v/>
      </c>
      <c r="CF17" s="59">
        <f>SUBTOTAL(103,Juin23[Colonne362])</f>
        <v/>
      </c>
      <c r="CG17" s="59">
        <f>SUBTOTAL(103,Juin23[Colonne363])</f>
        <v/>
      </c>
      <c r="CH17" s="59">
        <f>SUBTOTAL(103,Juin23[Colonne364])</f>
        <v/>
      </c>
      <c r="CI17" s="59">
        <f>SUBTOTAL(103,Juin23[Colonne365])</f>
        <v/>
      </c>
      <c r="CJ17" s="59">
        <f>SUBTOTAL(103,Juin23[Colonne366])</f>
        <v/>
      </c>
      <c r="CK17" s="59">
        <f>SUBTOTAL(103,Juin23[Colonne367])</f>
        <v/>
      </c>
      <c r="CL17" s="59">
        <f>SUBTOTAL(103,Juin23[Colonne368])</f>
        <v/>
      </c>
      <c r="CM17" s="59">
        <f>SUBTOTAL(103,Juin23[Colonne369])</f>
        <v/>
      </c>
      <c r="CN17" s="59">
        <f>SUBTOTAL(103,Juin23[Colonne370])</f>
        <v/>
      </c>
      <c r="CO17" s="59">
        <f>SUBTOTAL(103,Juin23[Colonne371])</f>
        <v/>
      </c>
      <c r="CP17" s="59">
        <f>SUBTOTAL(109,Juin23[Colonne372])</f>
        <v/>
      </c>
      <c r="CQ17" s="59">
        <f>SUBTOTAL(109,Juin23[Colonne373])</f>
        <v/>
      </c>
      <c r="CR17" s="59">
        <f>SUBTOTAL(109,Juin23[Colonne32])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AH6" showDropDown="0" showInputMessage="1" showErrorMessage="1" allowBlank="1" prompt="Année mise à jour automatiquement en fonction de l’année entrée dans la feuille de calcul Janvier"/>
    <dataValidation sqref="B1" showDropDown="0" showInputMessage="1" showErrorMessage="1" allowBlank="1" prompt="Le titre de la feuille de calcul figure dans cette cellule. "/>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C8:C9 F7 F9 I9 L9 O9 R9 U9 X9 AA7 AA9 AD9 AG9 AJ9 AM9 AP9 AS9 AV7 AV9 AY9 BB9 BE9 BH9 BK9 BN9 BQ7 BQ9 BT9 BW9 BZ9 CC9 CF9 CI9 CL7 CL9 CO9"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B2" showDropDown="0" showInputMessage="1" showErrorMessage="1" allowBlank="1" prompt="Le titre mis à jour automatiquement figure dans cette cellule. Pour modifier le titre, mettez à jour la cellule B1 de la feuille de calcul Janvier"/>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O4 T4" showDropDown="0" showInputMessage="1" showErrorMessage="1" allowBlank="1" prompt="Entrez une étiquette pour décrire la clé personnalisée à gauche"/>
    <dataValidation sqref="N4 S4" showDropDown="0" showInputMessage="1" showErrorMessage="1" allowBlank="1" prompt="Entrez une lettre et personnalisez l’étiquette à droite pour ajouter un élément de clé"/>
    <dataValidation sqref="J4" showDropDown="0" showInputMessage="1" showErrorMessage="1" allowBlank="1" prompt="La lettre « M » indique une absence pour cause de maladie"/>
    <dataValidation sqref="F4" showDropDown="0" showInputMessage="1" showErrorMessage="1" allowBlank="1" prompt="La lettre « P » indique une absence pour motifs personnels"/>
    <dataValidation sqref="C4" showDropDown="0" showInputMessage="1" showErrorMessage="1" allowBlank="1" prompt="La lettre « C » indique une absence pour cause de congé"/>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3.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CJ24" sqref="CJ24"/>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Mars</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TEXT(WEEKDAY(DATE(CalendarYear,6,7),1),"jjj")</f>
        <v/>
      </c>
      <c r="D7" s="47" t="n"/>
      <c r="E7" s="47" t="n"/>
      <c r="F7" s="47">
        <f>TEXT(WEEKDAY(DATE(CalendarYear,6,1),1),"jjj")</f>
        <v/>
      </c>
      <c r="G7" s="47" t="n"/>
      <c r="H7" s="47" t="n"/>
      <c r="I7" s="47">
        <f>TEXT(WEEKDAY(DATE(CalendarYear,6,2),1),"jjj")</f>
        <v/>
      </c>
      <c r="J7" s="47" t="n"/>
      <c r="K7" s="47" t="n"/>
      <c r="L7" s="47">
        <f>TEXT(WEEKDAY(DATE(CalendarYear,6,3),1),"jjj")</f>
        <v/>
      </c>
      <c r="M7" s="47" t="n"/>
      <c r="N7" s="47" t="n"/>
      <c r="O7" s="47">
        <f>TEXT(WEEKDAY(DATE(CalendarYear,6,4),1),"jjj")</f>
        <v/>
      </c>
      <c r="P7" s="47" t="n"/>
      <c r="Q7" s="47" t="n"/>
      <c r="R7" s="47">
        <f>TEXT(WEEKDAY(DATE(CalendarYear,6,5),1),"jjj")</f>
        <v/>
      </c>
      <c r="S7" s="47" t="n"/>
      <c r="T7" s="47" t="n"/>
      <c r="U7" s="47">
        <f>TEXT(WEEKDAY(DATE(CalendarYear,6,6),1),"jjj")</f>
        <v/>
      </c>
      <c r="V7" s="47" t="n"/>
      <c r="W7" s="47" t="n"/>
      <c r="X7" s="47">
        <f>TEXT(WEEKDAY(DATE(CalendarYear,6,7),1),"jjj")</f>
        <v/>
      </c>
      <c r="Y7" s="47" t="n"/>
      <c r="Z7" s="47" t="n"/>
      <c r="AA7" s="47">
        <f>TEXT(WEEKDAY(DATE(CalendarYear,6,1),1),"jjj")</f>
        <v/>
      </c>
      <c r="AB7" s="47" t="n"/>
      <c r="AC7" s="47" t="n"/>
      <c r="AD7" s="47">
        <f>TEXT(WEEKDAY(DATE(CalendarYear,6,2),1),"jjj")</f>
        <v/>
      </c>
      <c r="AE7" s="47" t="n"/>
      <c r="AF7" s="47" t="n"/>
      <c r="AG7" s="47">
        <f>TEXT(WEEKDAY(DATE(CalendarYear,6,3),1),"jjj")</f>
        <v/>
      </c>
      <c r="AH7" s="47" t="n"/>
      <c r="AI7" s="47" t="n"/>
      <c r="AJ7" s="47">
        <f>TEXT(WEEKDAY(DATE(CalendarYear,6,4),1),"jjj")</f>
        <v/>
      </c>
      <c r="AK7" s="47" t="n"/>
      <c r="AL7" s="47" t="n"/>
      <c r="AM7" s="47">
        <f>TEXT(WEEKDAY(DATE(CalendarYear,6,5),1),"jjj")</f>
        <v/>
      </c>
      <c r="AN7" s="47" t="n"/>
      <c r="AO7" s="47" t="n"/>
      <c r="AP7" s="47">
        <f>TEXT(WEEKDAY(DATE(CalendarYear,6,6),1),"jjj")</f>
        <v/>
      </c>
      <c r="AQ7" s="47" t="n"/>
      <c r="AR7" s="47" t="n"/>
      <c r="AS7" s="47">
        <f>TEXT(WEEKDAY(DATE(CalendarYear,6,7),1),"jjj")</f>
        <v/>
      </c>
      <c r="AT7" s="47" t="n"/>
      <c r="AU7" s="47" t="n"/>
      <c r="AV7" s="47">
        <f>TEXT(WEEKDAY(DATE(CalendarYear,6,1),1),"jjj")</f>
        <v/>
      </c>
      <c r="AW7" s="47" t="n"/>
      <c r="AX7" s="47" t="n"/>
      <c r="AY7" s="47">
        <f>TEXT(WEEKDAY(DATE(CalendarYear,6,2),1),"jjj")</f>
        <v/>
      </c>
      <c r="AZ7" s="47" t="n"/>
      <c r="BA7" s="47" t="n"/>
      <c r="BB7" s="47">
        <f>TEXT(WEEKDAY(DATE(CalendarYear,6,3),1),"jjj")</f>
        <v/>
      </c>
      <c r="BC7" s="47" t="n"/>
      <c r="BD7" s="47" t="n"/>
      <c r="BE7" s="47">
        <f>TEXT(WEEKDAY(DATE(CalendarYear,6,4),1),"jjj")</f>
        <v/>
      </c>
      <c r="BF7" s="47" t="n"/>
      <c r="BG7" s="47" t="n"/>
      <c r="BH7" s="47">
        <f>TEXT(WEEKDAY(DATE(CalendarYear,6,5),1),"jjj")</f>
        <v/>
      </c>
      <c r="BI7" s="47" t="n"/>
      <c r="BJ7" s="47" t="n"/>
      <c r="BK7" s="47">
        <f>TEXT(WEEKDAY(DATE(CalendarYear,6,6),1),"jjj")</f>
        <v/>
      </c>
      <c r="BL7" s="47" t="n"/>
      <c r="BM7" s="47" t="n"/>
      <c r="BN7" s="47">
        <f>TEXT(WEEKDAY(DATE(CalendarYear,6,7),1),"jjj")</f>
        <v/>
      </c>
      <c r="BO7" s="47" t="n"/>
      <c r="BP7" s="47" t="n"/>
      <c r="BQ7" s="47">
        <f>TEXT(WEEKDAY(DATE(CalendarYear,6,1),1),"jjj")</f>
        <v/>
      </c>
      <c r="BR7" s="47" t="n"/>
      <c r="BS7" s="47" t="n"/>
      <c r="BT7" s="47">
        <f>TEXT(WEEKDAY(DATE(CalendarYear,6,2),1),"jjj")</f>
        <v/>
      </c>
      <c r="BU7" s="47" t="n"/>
      <c r="BV7" s="47" t="n"/>
      <c r="BW7" s="47">
        <f>TEXT(WEEKDAY(DATE(CalendarYear,6,3),1),"jjj")</f>
        <v/>
      </c>
      <c r="BX7" s="47" t="n"/>
      <c r="BY7" s="47" t="n"/>
      <c r="BZ7" s="47">
        <f>TEXT(WEEKDAY(DATE(CalendarYear,6,4),1),"jjj")</f>
        <v/>
      </c>
      <c r="CA7" s="47" t="n"/>
      <c r="CB7" s="47" t="n"/>
      <c r="CC7" s="47">
        <f>TEXT(WEEKDAY(DATE(CalendarYear,6,5),1),"jjj")</f>
        <v/>
      </c>
      <c r="CD7" s="47" t="n"/>
      <c r="CE7" s="47" t="n"/>
      <c r="CF7" s="47">
        <f>TEXT(WEEKDAY(DATE(CalendarYear,6,6),1),"jjj")</f>
        <v/>
      </c>
      <c r="CG7" s="47" t="n"/>
      <c r="CH7" s="47" t="n"/>
      <c r="CI7" s="47">
        <f>TEXT(WEEKDAY(DATE(CalendarYear,6,7),1),"jjj")</f>
        <v/>
      </c>
      <c r="CJ7" s="47" t="n"/>
      <c r="CK7" s="47" t="n"/>
      <c r="CL7" s="47">
        <f>TEXT(WEEKDAY(DATE(CalendarYear,6,1),1),"jjj")</f>
        <v/>
      </c>
      <c r="CM7" s="47" t="n"/>
      <c r="CN7" s="47" t="n"/>
      <c r="CO7" s="47">
        <f>TEXT(WEEKDAY(DATE(CalendarYear,6,2),1),"jjj")</f>
        <v/>
      </c>
      <c r="CP7" s="47" t="n"/>
      <c r="CQ7" s="47" t="n"/>
      <c r="CR7" s="47">
        <f>TEXT(WEEKDAY(DATE(CalendarYear,6,3),1),"jjj")</f>
        <v/>
      </c>
      <c r="CS7" s="47" t="n"/>
      <c r="CT7" s="47" t="n"/>
      <c r="CU7" s="47">
        <f>TEXT(WEEKDAY(DATE(CalendarYear,6,4),1),"jjj")</f>
        <v/>
      </c>
      <c r="CV7" s="47" t="n"/>
      <c r="CW7" s="47" t="n"/>
      <c r="CX7" s="47">
        <f>TEXT(WEEKDAY(DATE(CalendarYear,6,5),1),"jjj")</f>
        <v/>
      </c>
      <c r="CY7" s="47" t="n"/>
      <c r="CZ7" s="47" t="n"/>
      <c r="DA7" s="47">
        <f>TEXT(WEEKDAY(DATE(CalendarYear,6,6),1),"jjj")</f>
        <v/>
      </c>
      <c r="DB7" s="47" t="n"/>
      <c r="DC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31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SUBTOTAL(103,Juin24[Colonne343])</f>
        <v/>
      </c>
      <c r="BN17" s="59">
        <f>SUBTOTAL(103,Juin24[Colonne344])</f>
        <v/>
      </c>
      <c r="BO17" s="59">
        <f>SUBTOTAL(103,Juin24[Colonne345])</f>
        <v/>
      </c>
      <c r="BP17" s="59">
        <f>SUBTOTAL(103,Juin24[Colonne346])</f>
        <v/>
      </c>
      <c r="BQ17" s="59">
        <f>SUBTOTAL(103,Juin24[Colonne347])</f>
        <v/>
      </c>
      <c r="BR17" s="59">
        <f>SUBTOTAL(103,Juin24[Colonne348])</f>
        <v/>
      </c>
      <c r="BS17" s="59">
        <f>SUBTOTAL(103,Juin24[Colonne349])</f>
        <v/>
      </c>
      <c r="BT17" s="59">
        <f>SUBTOTAL(103,Juin24[Colonne350])</f>
        <v/>
      </c>
      <c r="BU17" s="59">
        <f>SUBTOTAL(103,Juin24[Colonne351])</f>
        <v/>
      </c>
      <c r="BV17" s="59">
        <f>SUBTOTAL(103,Juin24[Colonne352])</f>
        <v/>
      </c>
      <c r="BW17" s="59">
        <f>SUBTOTAL(103,Juin24[Colonne353])</f>
        <v/>
      </c>
      <c r="BX17" s="59">
        <f>SUBTOTAL(103,Juin24[Colonne354])</f>
        <v/>
      </c>
      <c r="BY17" s="59">
        <f>SUBTOTAL(103,Juin24[Colonne355])</f>
        <v/>
      </c>
      <c r="BZ17" s="59">
        <f>SUBTOTAL(103,Juin24[Colonne356])</f>
        <v/>
      </c>
      <c r="CA17" s="59">
        <f>SUBTOTAL(103,Juin24[Colonne357])</f>
        <v/>
      </c>
      <c r="CB17" s="59">
        <f>SUBTOTAL(103,Juin24[Colonne358])</f>
        <v/>
      </c>
      <c r="CC17" s="59">
        <f>SUBTOTAL(103,Juin24[Colonne359])</f>
        <v/>
      </c>
      <c r="CD17" s="59">
        <f>SUBTOTAL(103,Juin24[Colonne360])</f>
        <v/>
      </c>
      <c r="CE17" s="59">
        <f>SUBTOTAL(103,Juin24[Colonne361])</f>
        <v/>
      </c>
      <c r="CF17" s="59">
        <f>SUBTOTAL(103,Juin24[Colonne362])</f>
        <v/>
      </c>
      <c r="CG17" s="59">
        <f>SUBTOTAL(103,Juin24[Colonne363])</f>
        <v/>
      </c>
      <c r="CH17" s="59">
        <f>SUBTOTAL(103,Juin24[Colonne364])</f>
        <v/>
      </c>
      <c r="CI17" s="59">
        <f>SUBTOTAL(103,Juin24[Colonne365])</f>
        <v/>
      </c>
      <c r="CJ17" s="59">
        <f>SUBTOTAL(103,Juin24[Colonne366])</f>
        <v/>
      </c>
      <c r="CK17" s="59">
        <f>SUBTOTAL(103,Juin24[Colonne367])</f>
        <v/>
      </c>
      <c r="CL17" s="59">
        <f>SUBTOTAL(103,Juin24[Colonne368])</f>
        <v/>
      </c>
      <c r="CM17" s="59">
        <f>SUBTOTAL(103,Juin24[Colonne369])</f>
        <v/>
      </c>
      <c r="CN17" s="59">
        <f>SUBTOTAL(103,Juin24[Colonne370])</f>
        <v/>
      </c>
      <c r="CO17" s="59">
        <f>SUBTOTAL(103,Juin24[Colonne371])</f>
        <v/>
      </c>
      <c r="CP17" s="59">
        <f>SUBTOTAL(109,Juin24[Colonne372])</f>
        <v/>
      </c>
      <c r="CQ17" s="59">
        <f>SUBTOTAL(109,Juin24[Colonne373])</f>
        <v/>
      </c>
      <c r="CR17" s="59">
        <f>SUBTOTAL(109,Juin24[Colonne32])</f>
        <v/>
      </c>
    </row>
    <row r="18" ht="26.25" customHeight="1" s="55">
      <c r="B18" s="25" t="inlineStr">
        <is>
          <t xml:space="preserve">repetition chez/concert </t>
        </is>
      </c>
      <c r="W18" s="26" t="n"/>
    </row>
    <row r="19" ht="30" customHeight="1" s="55">
      <c r="B19" s="23" t="inlineStr">
        <is>
          <t>heure</t>
        </is>
      </c>
    </row>
  </sheetData>
  <mergeCells count="43">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AH6" showDropDown="0" showInputMessage="1" showErrorMessage="1" allowBlank="1" prompt="Année mise à jour automatiquement en fonction de l’année entrée dans la feuille de calcul Janvier"/>
    <dataValidation sqref="B1" showDropDown="0" showInputMessage="1" showErrorMessage="1" allowBlank="1" prompt="Le titre de la feuille de calcul figure dans cette cellule. "/>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C8:C9 F7 F9 I9 L9 O9 R9 U9 X9 AA7 AA9 AD9 AG9 AJ9 AM9 AP9 AS9 AV7 AV9 AY9 BB9 BE9 BH9 BK9 BN9 BQ7 BQ9 BT9 BW9 BZ9 CC9 CF9 CI9 CL7 CL9 CO9"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B2" showDropDown="0" showInputMessage="1" showErrorMessage="1" allowBlank="1" prompt="Le titre mis à jour automatiquement figure dans cette cellule. Pour modifier le titre, mettez à jour la cellule B1 de la feuille de calcul Janvier"/>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O4 T4" showDropDown="0" showInputMessage="1" showErrorMessage="1" allowBlank="1" prompt="Entrez une étiquette pour décrire la clé personnalisée à gauche"/>
    <dataValidation sqref="N4 S4" showDropDown="0" showInputMessage="1" showErrorMessage="1" allowBlank="1" prompt="Entrez une lettre et personnalisez l’étiquette à droite pour ajouter un élément de clé"/>
    <dataValidation sqref="J4" showDropDown="0" showInputMessage="1" showErrorMessage="1" allowBlank="1" prompt="La lettre « M » indique une absence pour cause de maladie"/>
    <dataValidation sqref="F4" showDropDown="0" showInputMessage="1" showErrorMessage="1" allowBlank="1" prompt="La lettre « P » indique une absence pour motifs personnels"/>
    <dataValidation sqref="C4" showDropDown="0" showInputMessage="1" showErrorMessage="1" allowBlank="1" prompt="La lettre « C » indique une absence pour cause de congé"/>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4.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U26" sqref="U26"/>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Avril</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TEXT(WEEKDAY(DATE(CalendarYear,6,2),1),"jjj")</f>
        <v/>
      </c>
      <c r="D7" s="47" t="n"/>
      <c r="E7" s="47" t="n"/>
      <c r="F7" s="47">
        <f>TEXT(WEEKDAY(DATE(CalendarYear,6,3),1),"jjj")</f>
        <v/>
      </c>
      <c r="G7" s="47" t="n"/>
      <c r="H7" s="47" t="n"/>
      <c r="I7" s="47">
        <f>TEXT(WEEKDAY(DATE(CalendarYear,6,4),1),"jjj")</f>
        <v/>
      </c>
      <c r="J7" s="47" t="n"/>
      <c r="K7" s="47" t="n"/>
      <c r="L7" s="47">
        <f>TEXT(WEEKDAY(DATE(CalendarYear,6,5),1),"jjj")</f>
        <v/>
      </c>
      <c r="M7" s="47" t="n"/>
      <c r="N7" s="47" t="n"/>
      <c r="O7" s="47">
        <f>TEXT(WEEKDAY(DATE(CalendarYear,6,6),1),"jjj")</f>
        <v/>
      </c>
      <c r="P7" s="47" t="n"/>
      <c r="Q7" s="47" t="n"/>
      <c r="R7" s="47">
        <f>TEXT(WEEKDAY(DATE(CalendarYear,6,7),1),"jjj")</f>
        <v/>
      </c>
      <c r="S7" s="47" t="n"/>
      <c r="T7" s="47" t="n"/>
      <c r="U7" s="47">
        <f>TEXT(WEEKDAY(DATE(CalendarYear,6,1),1),"jjj")</f>
        <v/>
      </c>
      <c r="V7" s="47" t="n"/>
      <c r="W7" s="47" t="n"/>
      <c r="X7" s="47">
        <f>TEXT(WEEKDAY(DATE(CalendarYear,6,2),1),"jjj")</f>
        <v/>
      </c>
      <c r="Y7" s="47" t="n"/>
      <c r="Z7" s="47" t="n"/>
      <c r="AA7" s="47">
        <f>TEXT(WEEKDAY(DATE(CalendarYear,6,3),1),"jjj")</f>
        <v/>
      </c>
      <c r="AB7" s="47" t="n"/>
      <c r="AC7" s="47" t="n"/>
      <c r="AD7" s="47">
        <f>TEXT(WEEKDAY(DATE(CalendarYear,6,4),1),"jjj")</f>
        <v/>
      </c>
      <c r="AE7" s="47" t="n"/>
      <c r="AF7" s="47" t="n"/>
      <c r="AG7" s="47">
        <f>TEXT(WEEKDAY(DATE(CalendarYear,6,5),1),"jjj")</f>
        <v/>
      </c>
      <c r="AH7" s="47" t="n"/>
      <c r="AI7" s="47" t="n"/>
      <c r="AJ7" s="47">
        <f>TEXT(WEEKDAY(DATE(CalendarYear,6,6),1),"jjj")</f>
        <v/>
      </c>
      <c r="AK7" s="47" t="n"/>
      <c r="AL7" s="47" t="n"/>
      <c r="AM7" s="47">
        <f>TEXT(WEEKDAY(DATE(CalendarYear,6,7),1),"jjj")</f>
        <v/>
      </c>
      <c r="AN7" s="47" t="n"/>
      <c r="AO7" s="47" t="n"/>
      <c r="AP7" s="47">
        <f>TEXT(WEEKDAY(DATE(CalendarYear,6,1),1),"jjj")</f>
        <v/>
      </c>
      <c r="AQ7" s="47" t="n"/>
      <c r="AR7" s="47" t="n"/>
      <c r="AS7" s="47">
        <f>TEXT(WEEKDAY(DATE(CalendarYear,6,2),1),"jjj")</f>
        <v/>
      </c>
      <c r="AT7" s="47" t="n"/>
      <c r="AU7" s="47" t="n"/>
      <c r="AV7" s="47">
        <f>TEXT(WEEKDAY(DATE(CalendarYear,6,3),1),"jjj")</f>
        <v/>
      </c>
      <c r="AW7" s="47" t="n"/>
      <c r="AX7" s="47" t="n"/>
      <c r="AY7" s="47">
        <f>TEXT(WEEKDAY(DATE(CalendarYear,6,4),1),"jjj")</f>
        <v/>
      </c>
      <c r="AZ7" s="47" t="n"/>
      <c r="BA7" s="47" t="n"/>
      <c r="BB7" s="47">
        <f>TEXT(WEEKDAY(DATE(CalendarYear,6,5),1),"jjj")</f>
        <v/>
      </c>
      <c r="BC7" s="47" t="n"/>
      <c r="BD7" s="47" t="n"/>
      <c r="BE7" s="47">
        <f>TEXT(WEEKDAY(DATE(CalendarYear,6,6),1),"jjj")</f>
        <v/>
      </c>
      <c r="BF7" s="47" t="n"/>
      <c r="BG7" s="47" t="n"/>
      <c r="BH7" s="47">
        <f>TEXT(WEEKDAY(DATE(CalendarYear,6,7),1),"jjj")</f>
        <v/>
      </c>
      <c r="BI7" s="47" t="n"/>
      <c r="BJ7" s="47" t="n"/>
      <c r="BK7" s="47">
        <f>TEXT(WEEKDAY(DATE(CalendarYear,6,1),1),"jjj")</f>
        <v/>
      </c>
      <c r="BL7" s="47" t="n"/>
      <c r="BM7" s="47" t="n"/>
      <c r="BN7" s="47">
        <f>TEXT(WEEKDAY(DATE(CalendarYear,6,2),1),"jjj")</f>
        <v/>
      </c>
      <c r="BO7" s="47" t="n"/>
      <c r="BP7" s="47" t="n"/>
      <c r="BQ7" s="47">
        <f>TEXT(WEEKDAY(DATE(CalendarYear,6,3),1),"jjj")</f>
        <v/>
      </c>
      <c r="BR7" s="47" t="n"/>
      <c r="BS7" s="47" t="n"/>
      <c r="BT7" s="47">
        <f>TEXT(WEEKDAY(DATE(CalendarYear,6,4),1),"jjj")</f>
        <v/>
      </c>
      <c r="BU7" s="47" t="n"/>
      <c r="BV7" s="47" t="n"/>
      <c r="BW7" s="47">
        <f>TEXT(WEEKDAY(DATE(CalendarYear,6,5),1),"jjj")</f>
        <v/>
      </c>
      <c r="BX7" s="47" t="n"/>
      <c r="BY7" s="47" t="n"/>
      <c r="BZ7" s="47">
        <f>TEXT(WEEKDAY(DATE(CalendarYear,6,6),1),"jjj")</f>
        <v/>
      </c>
      <c r="CA7" s="47" t="n"/>
      <c r="CB7" s="47" t="n"/>
      <c r="CC7" s="47">
        <f>TEXT(WEEKDAY(DATE(CalendarYear,6,7),1),"jjj")</f>
        <v/>
      </c>
      <c r="CD7" s="47" t="n"/>
      <c r="CE7" s="47" t="n"/>
      <c r="CF7" s="47">
        <f>TEXT(WEEKDAY(DATE(CalendarYear,6,1),1),"jjj")</f>
        <v/>
      </c>
      <c r="CG7" s="47" t="n"/>
      <c r="CH7" s="47" t="n"/>
      <c r="CI7" s="47">
        <f>TEXT(WEEKDAY(DATE(CalendarYear,6,2),1),"jjj")</f>
        <v/>
      </c>
      <c r="CJ7" s="47" t="n"/>
      <c r="CK7" s="47" t="n"/>
      <c r="CL7" s="47">
        <f>TEXT(WEEKDAY(DATE(CalendarYear,6,3),1),"jjj")</f>
        <v/>
      </c>
      <c r="CM7" s="47" t="n"/>
      <c r="CN7" s="47" t="n"/>
      <c r="CO7" s="47">
        <f>TEXT(WEEKDAY(DATE(CalendarYear,6,4),1),"jjj")</f>
        <v/>
      </c>
      <c r="CP7" s="47" t="n"/>
      <c r="CQ7" s="47" t="n"/>
      <c r="CR7" s="47">
        <f>TEXT(WEEKDAY(DATE(CalendarYear,6,5),1),"jjj")</f>
        <v/>
      </c>
      <c r="CS7" s="47" t="n"/>
      <c r="CT7" s="47" t="n"/>
      <c r="CU7" s="47">
        <f>TEXT(WEEKDAY(DATE(CalendarYear,6,6),1),"jjj")</f>
        <v/>
      </c>
      <c r="CV7" s="47" t="n"/>
      <c r="CW7" s="47" t="n"/>
      <c r="CX7" s="47">
        <f>TEXT(WEEKDAY(DATE(CalendarYear,6,7),1),"jjj")</f>
        <v/>
      </c>
      <c r="CY7" s="47" t="n"/>
      <c r="CZ7" s="47" t="n"/>
      <c r="DA7" s="47">
        <f>TEXT(WEEKDAY(DATE(CalendarYear,6,1),1),"jjj")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SUBTOTAL(103,Juin245[Colonne343])</f>
        <v/>
      </c>
      <c r="BN17" s="59">
        <f>SUBTOTAL(103,Juin245[Colonne344])</f>
        <v/>
      </c>
      <c r="BO17" s="59">
        <f>SUBTOTAL(103,Juin245[Colonne345])</f>
        <v/>
      </c>
      <c r="BP17" s="59">
        <f>SUBTOTAL(103,Juin245[Colonne346])</f>
        <v/>
      </c>
      <c r="BQ17" s="59">
        <f>SUBTOTAL(103,Juin245[Colonne347])</f>
        <v/>
      </c>
      <c r="BR17" s="59">
        <f>SUBTOTAL(103,Juin245[Colonne348])</f>
        <v/>
      </c>
      <c r="BS17" s="59">
        <f>SUBTOTAL(103,Juin245[Colonne349])</f>
        <v/>
      </c>
      <c r="BT17" s="59">
        <f>SUBTOTAL(103,Juin245[Colonne350])</f>
        <v/>
      </c>
      <c r="BU17" s="59">
        <f>SUBTOTAL(103,Juin245[Colonne351])</f>
        <v/>
      </c>
      <c r="BV17" s="59">
        <f>SUBTOTAL(103,Juin245[Colonne352])</f>
        <v/>
      </c>
      <c r="BW17" s="59">
        <f>SUBTOTAL(103,Juin245[Colonne353])</f>
        <v/>
      </c>
      <c r="BX17" s="59">
        <f>SUBTOTAL(103,Juin245[Colonne354])</f>
        <v/>
      </c>
      <c r="BY17" s="59">
        <f>SUBTOTAL(103,Juin245[Colonne355])</f>
        <v/>
      </c>
      <c r="BZ17" s="59">
        <f>SUBTOTAL(103,Juin245[Colonne356])</f>
        <v/>
      </c>
      <c r="CA17" s="59">
        <f>SUBTOTAL(103,Juin245[Colonne357])</f>
        <v/>
      </c>
      <c r="CB17" s="59">
        <f>SUBTOTAL(103,Juin245[Colonne358])</f>
        <v/>
      </c>
      <c r="CC17" s="59">
        <f>SUBTOTAL(103,Juin245[Colonne359])</f>
        <v/>
      </c>
      <c r="CD17" s="59">
        <f>SUBTOTAL(103,Juin245[Colonne360])</f>
        <v/>
      </c>
      <c r="CE17" s="59">
        <f>SUBTOTAL(103,Juin245[Colonne361])</f>
        <v/>
      </c>
      <c r="CF17" s="59">
        <f>SUBTOTAL(103,Juin245[Colonne362])</f>
        <v/>
      </c>
      <c r="CG17" s="59">
        <f>SUBTOTAL(103,Juin245[Colonne363])</f>
        <v/>
      </c>
      <c r="CH17" s="59">
        <f>SUBTOTAL(103,Juin245[Colonne364])</f>
        <v/>
      </c>
      <c r="CI17" s="59">
        <f>SUBTOTAL(103,Juin245[Colonne365])</f>
        <v/>
      </c>
      <c r="CJ17" s="59">
        <f>SUBTOTAL(103,Juin245[Colonne366])</f>
        <v/>
      </c>
      <c r="CK17" s="59">
        <f>SUBTOTAL(103,Juin245[Colonne367])</f>
        <v/>
      </c>
      <c r="CL17" s="59">
        <f>SUBTOTAL(103,Juin245[Colonne368])</f>
        <v/>
      </c>
      <c r="CM17" s="59">
        <f>SUBTOTAL(103,Juin245[Colonne369])</f>
        <v/>
      </c>
      <c r="CN17" s="59">
        <f>SUBTOTAL(103,Juin245[Colonne370])</f>
        <v/>
      </c>
      <c r="CO17" s="59">
        <f>SUBTOTAL(103,Juin245[Colonne371])</f>
        <v/>
      </c>
      <c r="CP17" s="59">
        <f>SUBTOTAL(109,Juin245[Colonne372])</f>
        <v/>
      </c>
      <c r="CQ17" s="59">
        <f>SUBTOTAL(109,Juin245[Colonne373])</f>
        <v/>
      </c>
      <c r="CR17" s="59">
        <f>SUBTOTAL(109,Juin245[Colonne32])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 sqref="C4" showDropDown="0" showInputMessage="1" showErrorMessage="1" allowBlank="1" prompt="La lettre « C » indique une absence pour cause de congé"/>
    <dataValidation sqref="F4" showDropDown="0" showInputMessage="1" showErrorMessage="1" allowBlank="1" prompt="La lettre « P » indique une absence pour motifs personnels"/>
    <dataValidation sqref="J4" showDropDown="0" showInputMessage="1" showErrorMessage="1" allowBlank="1" prompt="La lettre « M » indique une absence pour cause de maladie"/>
    <dataValidation sqref="N4 S4" showDropDown="0" showInputMessage="1" showErrorMessage="1" allowBlank="1" prompt="Entrez une lettre et personnalisez l’étiquette à droite pour ajouter un élément de clé"/>
    <dataValidation sqref="O4 T4" showDropDown="0" showInputMessage="1" showErrorMessage="1" allowBlank="1" prompt="Entrez une étiquette pour décrire la clé personnalisée à gauche"/>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B2" showDropDown="0" showInputMessage="1" showErrorMessage="1" allowBlank="1" prompt="Le titre mis à jour automatiquement figure dans cette cellule. Pour modifier le titre, mettez à jour la cellule B1 de la feuille de calcul Janvier"/>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C8:C9 F9 I9 L9 O9 R9 U7 U9 X9 AA9 AD9 AG9 AJ9 AM9 AP7 AP9 AS9 AV9 AY9 BB9 BE9 BH9 BK7 BK9 BN9 BQ9 BT9 BW9 BZ9 CC9 CF7 CF9 CI9 CL9 CO9 DA7"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B1" showDropDown="0" showInputMessage="1" showErrorMessage="1" allowBlank="1" prompt="Le titre de la feuille de calcul figure dans cette cellule. "/>
    <dataValidation sqref="AH6" showDropDown="0" showInputMessage="1" showErrorMessage="1" allowBlank="1" prompt="Année mise à jour automatiquement en fonction de l’année entrée dans la feuille de calcul Janvier"/>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5.xml><?xml version="1.0" encoding="utf-8"?>
<worksheet xmlns="http://schemas.openxmlformats.org/spreadsheetml/2006/main">
  <sheetPr>
    <tabColor theme="6" tint="0.3999755851924192"/>
    <outlinePr summaryBelow="1" summaryRight="1"/>
    <pageSetUpPr/>
  </sheetPr>
  <dimension ref="A1:OI99"/>
  <sheetViews>
    <sheetView showGridLines="0" zoomScale="85" zoomScaleNormal="85" workbookViewId="0">
      <selection activeCell="F21" sqref="F21:G21"/>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Mai</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TEXT(WEEKDAY(DATE(CalendarYear,6,5),1),"jjj")</f>
        <v/>
      </c>
      <c r="D7" s="47" t="n"/>
      <c r="E7" s="47" t="n"/>
      <c r="F7" s="47">
        <f>TEXT(WEEKDAY(DATE(CalendarYear,6,6),1),"jjj")</f>
        <v/>
      </c>
      <c r="G7" s="47" t="n"/>
      <c r="H7" s="47" t="n"/>
      <c r="I7" s="47">
        <f>TEXT(WEEKDAY(DATE(CalendarYear,6,7),1),"jjj")</f>
        <v/>
      </c>
      <c r="J7" s="47" t="n"/>
      <c r="K7" s="47" t="n"/>
      <c r="L7" s="47">
        <f>TEXT(WEEKDAY(DATE(CalendarYear,6,1),1),"jjj")</f>
        <v/>
      </c>
      <c r="M7" s="47" t="n"/>
      <c r="N7" s="47" t="n"/>
      <c r="O7" s="47">
        <f>TEXT(WEEKDAY(DATE(CalendarYear,6,2),1),"jjj")</f>
        <v/>
      </c>
      <c r="P7" s="47" t="n"/>
      <c r="Q7" s="47" t="n"/>
      <c r="R7" s="47">
        <f>TEXT(WEEKDAY(DATE(CalendarYear,6,3),1),"jjj")</f>
        <v/>
      </c>
      <c r="S7" s="47" t="n"/>
      <c r="T7" s="47" t="n"/>
      <c r="U7" s="47">
        <f>TEXT(WEEKDAY(DATE(CalendarYear,6,4),1),"jjj")</f>
        <v/>
      </c>
      <c r="V7" s="47" t="n"/>
      <c r="W7" s="47" t="n"/>
      <c r="X7" s="47">
        <f>TEXT(WEEKDAY(DATE(CalendarYear,6,5),1),"jjj")</f>
        <v/>
      </c>
      <c r="Y7" s="47" t="n"/>
      <c r="Z7" s="47" t="n"/>
      <c r="AA7" s="47">
        <f>TEXT(WEEKDAY(DATE(CalendarYear,6,6),1),"jjj")</f>
        <v/>
      </c>
      <c r="AB7" s="47" t="n"/>
      <c r="AC7" s="47" t="n"/>
      <c r="AD7" s="47">
        <f>TEXT(WEEKDAY(DATE(CalendarYear,6,7),1),"jjj")</f>
        <v/>
      </c>
      <c r="AE7" s="47" t="n"/>
      <c r="AF7" s="47" t="n"/>
      <c r="AG7" s="47">
        <f>TEXT(WEEKDAY(DATE(CalendarYear,6,1),1),"jjj")</f>
        <v/>
      </c>
      <c r="AH7" s="47" t="n"/>
      <c r="AI7" s="47" t="n"/>
      <c r="AJ7" s="47">
        <f>TEXT(WEEKDAY(DATE(CalendarYear,6,2),1),"jjj")</f>
        <v/>
      </c>
      <c r="AK7" s="47" t="n"/>
      <c r="AL7" s="47" t="n"/>
      <c r="AM7" s="47">
        <f>TEXT(WEEKDAY(DATE(CalendarYear,6,3),1),"jjj")</f>
        <v/>
      </c>
      <c r="AN7" s="47" t="n"/>
      <c r="AO7" s="47" t="n"/>
      <c r="AP7" s="47">
        <f>TEXT(WEEKDAY(DATE(CalendarYear,6,4),1),"jjj")</f>
        <v/>
      </c>
      <c r="AQ7" s="47" t="n"/>
      <c r="AR7" s="47" t="n"/>
      <c r="AS7" s="47">
        <f>TEXT(WEEKDAY(DATE(CalendarYear,6,5),1),"jjj")</f>
        <v/>
      </c>
      <c r="AT7" s="47" t="n"/>
      <c r="AU7" s="47" t="n"/>
      <c r="AV7" s="47">
        <f>TEXT(WEEKDAY(DATE(CalendarYear,6,6),1),"jjj")</f>
        <v/>
      </c>
      <c r="AW7" s="47" t="n"/>
      <c r="AX7" s="47" t="n"/>
      <c r="AY7" s="47">
        <f>TEXT(WEEKDAY(DATE(CalendarYear,6,7),1),"jjj")</f>
        <v/>
      </c>
      <c r="AZ7" s="47" t="n"/>
      <c r="BA7" s="47" t="n"/>
      <c r="BB7" s="47">
        <f>TEXT(WEEKDAY(DATE(CalendarYear,6,1),1),"jjj")</f>
        <v/>
      </c>
      <c r="BC7" s="47" t="n"/>
      <c r="BD7" s="47" t="n"/>
      <c r="BE7" s="47">
        <f>TEXT(WEEKDAY(DATE(CalendarYear,6,2),1),"jjj")</f>
        <v/>
      </c>
      <c r="BF7" s="47" t="n"/>
      <c r="BG7" s="47" t="n"/>
      <c r="BH7" s="47">
        <f>TEXT(WEEKDAY(DATE(CalendarYear,6,3),1),"jjj")</f>
        <v/>
      </c>
      <c r="BI7" s="47" t="n"/>
      <c r="BJ7" s="47" t="n"/>
      <c r="BK7" s="47">
        <f>TEXT(WEEKDAY(DATE(CalendarYear,6,4),1),"jjj")</f>
        <v/>
      </c>
      <c r="BL7" s="47" t="n"/>
      <c r="BM7" s="47" t="n"/>
      <c r="BN7" s="47">
        <f>TEXT(WEEKDAY(DATE(CalendarYear,6,5),1),"jjj")</f>
        <v/>
      </c>
      <c r="BO7" s="47" t="n"/>
      <c r="BP7" s="47" t="n"/>
      <c r="BQ7" s="47">
        <f>TEXT(WEEKDAY(DATE(CalendarYear,6,6),1),"jjj")</f>
        <v/>
      </c>
      <c r="BR7" s="47" t="n"/>
      <c r="BS7" s="47" t="n"/>
      <c r="BT7" s="47">
        <f>TEXT(WEEKDAY(DATE(CalendarYear,6,7),1),"jjj")</f>
        <v/>
      </c>
      <c r="BU7" s="47" t="n"/>
      <c r="BV7" s="47" t="n"/>
      <c r="BW7" s="47">
        <f>TEXT(WEEKDAY(DATE(CalendarYear,6,1),1),"jjj")</f>
        <v/>
      </c>
      <c r="BX7" s="47" t="n"/>
      <c r="BY7" s="47" t="n"/>
      <c r="BZ7" s="47">
        <f>TEXT(WEEKDAY(DATE(CalendarYear,6,2),1),"jjj")</f>
        <v/>
      </c>
      <c r="CA7" s="47" t="n"/>
      <c r="CB7" s="47" t="n"/>
      <c r="CC7" s="47">
        <f>TEXT(WEEKDAY(DATE(CalendarYear,6,3),1),"jjj")</f>
        <v/>
      </c>
      <c r="CD7" s="47" t="n"/>
      <c r="CE7" s="47" t="n"/>
      <c r="CF7" s="47">
        <f>TEXT(WEEKDAY(DATE(CalendarYear,6,4),1),"jjj")</f>
        <v/>
      </c>
      <c r="CG7" s="47" t="n"/>
      <c r="CH7" s="47" t="n"/>
      <c r="CI7" s="47">
        <f>TEXT(WEEKDAY(DATE(CalendarYear,6,5),1),"jjj")</f>
        <v/>
      </c>
      <c r="CJ7" s="47" t="n"/>
      <c r="CK7" s="47" t="n"/>
      <c r="CL7" s="47">
        <f>TEXT(WEEKDAY(DATE(CalendarYear,6,6),1),"jjj")</f>
        <v/>
      </c>
      <c r="CM7" s="47" t="n"/>
      <c r="CN7" s="47" t="n"/>
      <c r="CO7" s="47">
        <f>TEXT(WEEKDAY(DATE(CalendarYear,6,7),1),"jjj")</f>
        <v/>
      </c>
      <c r="CP7" s="47" t="n"/>
      <c r="CQ7" s="47" t="n"/>
      <c r="CR7" s="47">
        <f>TEXT(WEEKDAY(DATE(CalendarYear,6,1),1),"jjj")</f>
        <v/>
      </c>
      <c r="CS7" s="47" t="n"/>
      <c r="CT7" s="47" t="n"/>
      <c r="CU7" s="47">
        <f>TEXT(WEEKDAY(DATE(CalendarYear,6,2),1),"jjj")</f>
        <v/>
      </c>
      <c r="CV7" s="47" t="n"/>
      <c r="CW7" s="47" t="n"/>
      <c r="CX7" s="47">
        <f>TEXT(WEEKDAY(DATE(CalendarYear,6,3),1),"jjj")</f>
        <v/>
      </c>
      <c r="CY7" s="47" t="n"/>
      <c r="CZ7" s="47" t="n"/>
      <c r="DA7" s="47">
        <f>TEXT(WEEKDAY(DATE(CalendarYear,6,4),1),"jjj")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31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inlineStr">
        <is>
          <t>D</t>
        </is>
      </c>
      <c r="P14" s="33" t="inlineStr">
        <is>
          <t>X</t>
        </is>
      </c>
      <c r="Q14" s="33" t="inlineStr">
        <is>
          <t>D</t>
        </is>
      </c>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SUBTOTAL(103,Juin2456[Colonne343])</f>
        <v/>
      </c>
      <c r="BN17" s="59">
        <f>SUBTOTAL(103,Juin2456[Colonne344])</f>
        <v/>
      </c>
      <c r="BO17" s="59">
        <f>SUBTOTAL(103,Juin2456[Colonne345])</f>
        <v/>
      </c>
      <c r="BP17" s="59">
        <f>SUBTOTAL(103,Juin2456[Colonne346])</f>
        <v/>
      </c>
      <c r="BQ17" s="59">
        <f>SUBTOTAL(103,Juin2456[Colonne347])</f>
        <v/>
      </c>
      <c r="BR17" s="59">
        <f>SUBTOTAL(103,Juin2456[Colonne348])</f>
        <v/>
      </c>
      <c r="BS17" s="59">
        <f>SUBTOTAL(103,Juin2456[Colonne349])</f>
        <v/>
      </c>
      <c r="BT17" s="59">
        <f>SUBTOTAL(103,Juin2456[Colonne350])</f>
        <v/>
      </c>
      <c r="BU17" s="59">
        <f>SUBTOTAL(103,Juin2456[Colonne351])</f>
        <v/>
      </c>
      <c r="BV17" s="59">
        <f>SUBTOTAL(103,Juin2456[Colonne352])</f>
        <v/>
      </c>
      <c r="BW17" s="59">
        <f>SUBTOTAL(103,Juin2456[Colonne353])</f>
        <v/>
      </c>
      <c r="BX17" s="59">
        <f>SUBTOTAL(103,Juin2456[Colonne354])</f>
        <v/>
      </c>
      <c r="BY17" s="59">
        <f>SUBTOTAL(103,Juin2456[Colonne355])</f>
        <v/>
      </c>
      <c r="BZ17" s="59">
        <f>SUBTOTAL(103,Juin2456[Colonne356])</f>
        <v/>
      </c>
      <c r="CA17" s="59">
        <f>SUBTOTAL(103,Juin2456[Colonne357])</f>
        <v/>
      </c>
      <c r="CB17" s="59">
        <f>SUBTOTAL(103,Juin2456[Colonne358])</f>
        <v/>
      </c>
      <c r="CC17" s="59">
        <f>SUBTOTAL(103,Juin2456[Colonne359])</f>
        <v/>
      </c>
      <c r="CD17" s="59">
        <f>SUBTOTAL(103,Juin2456[Colonne360])</f>
        <v/>
      </c>
      <c r="CE17" s="59">
        <f>SUBTOTAL(103,Juin2456[Colonne361])</f>
        <v/>
      </c>
      <c r="CF17" s="59">
        <f>SUBTOTAL(103,Juin2456[Colonne362])</f>
        <v/>
      </c>
      <c r="CG17" s="59">
        <f>SUBTOTAL(103,Juin2456[Colonne363])</f>
        <v/>
      </c>
      <c r="CH17" s="59">
        <f>SUBTOTAL(103,Juin2456[Colonne364])</f>
        <v/>
      </c>
      <c r="CI17" s="59">
        <f>SUBTOTAL(103,Juin2456[Colonne365])</f>
        <v/>
      </c>
      <c r="CJ17" s="59">
        <f>SUBTOTAL(103,Juin2456[Colonne366])</f>
        <v/>
      </c>
      <c r="CK17" s="59">
        <f>SUBTOTAL(103,Juin2456[Colonne367])</f>
        <v/>
      </c>
      <c r="CL17" s="59">
        <f>SUBTOTAL(103,Juin2456[Colonne368])</f>
        <v/>
      </c>
      <c r="CM17" s="59">
        <f>SUBTOTAL(103,Juin2456[Colonne369])</f>
        <v/>
      </c>
      <c r="CN17" s="59">
        <f>SUBTOTAL(103,Juin2456[Colonne370])</f>
        <v/>
      </c>
      <c r="CO17" s="59">
        <f>SUBTOTAL(103,Juin2456[Colonne371])</f>
        <v/>
      </c>
      <c r="CP17" s="59">
        <f>SUBTOTAL(109,Juin2456[Colonne372])</f>
        <v/>
      </c>
      <c r="CQ17" s="59">
        <f>SUBTOTAL(109,Juin2456[Colonne373])</f>
        <v/>
      </c>
      <c r="CR17" s="59">
        <f>SUBTOTAL(109,Juin2456[Colonne32])</f>
        <v/>
      </c>
    </row>
    <row r="18" ht="26.25" customHeight="1" s="55">
      <c r="B18" s="25" t="inlineStr">
        <is>
          <t xml:space="preserve">repetition chez/concert </t>
        </is>
      </c>
      <c r="W18" s="26" t="n"/>
    </row>
    <row r="19" ht="30" customHeight="1" s="55">
      <c r="B19" s="23" t="inlineStr">
        <is>
          <t>heure</t>
        </is>
      </c>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AH6" showDropDown="0" showInputMessage="1" showErrorMessage="1" allowBlank="1" prompt="Année mise à jour automatiquement en fonction de l’année entrée dans la feuille de calcul Janvier"/>
    <dataValidation sqref="B1" showDropDown="0" showInputMessage="1" showErrorMessage="1" allowBlank="1" prompt="Le titre de la feuille de calcul figure dans cette cellule. "/>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C8:C9 F9 I9 L7 L9 O9 R9 U9 X9 AA9 AD9 AG7 AG9 AJ9 AM9 AP9 AS9 AV9 AY9 BB7 BB9 BE9 BH9 BK9 BN9 BQ9 BT9 BW7 BW9 BZ9 CC9 CF9 CI9 CL9 CO9 CR7"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B2" showDropDown="0" showInputMessage="1" showErrorMessage="1" allowBlank="1" prompt="Le titre mis à jour automatiquement figure dans cette cellule. Pour modifier le titre, mettez à jour la cellule B1 de la feuille de calcul Janvier"/>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O4 T4" showDropDown="0" showInputMessage="1" showErrorMessage="1" allowBlank="1" prompt="Entrez une étiquette pour décrire la clé personnalisée à gauche"/>
    <dataValidation sqref="N4 S4" showDropDown="0" showInputMessage="1" showErrorMessage="1" allowBlank="1" prompt="Entrez une lettre et personnalisez l’étiquette à droite pour ajouter un élément de clé"/>
    <dataValidation sqref="J4" showDropDown="0" showInputMessage="1" showErrorMessage="1" allowBlank="1" prompt="La lettre « M » indique une absence pour cause de maladie"/>
    <dataValidation sqref="F4" showDropDown="0" showInputMessage="1" showErrorMessage="1" allowBlank="1" prompt="La lettre « P » indique une absence pour motifs personnels"/>
    <dataValidation sqref="C4" showDropDown="0" showInputMessage="1" showErrorMessage="1" allowBlank="1" prompt="La lettre « C » indique une absence pour cause de congé"/>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6.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CE26" sqref="CE26"/>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Juin</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TEXT(WEEKDAY(DATE(CalendarYear,6,1),1),"jjj")</f>
        <v/>
      </c>
      <c r="D7" s="47" t="n"/>
      <c r="E7" s="47" t="n"/>
      <c r="F7" s="47">
        <f>TEXT(WEEKDAY(DATE(CalendarYear,6,2),1),"jjj")</f>
        <v/>
      </c>
      <c r="G7" s="47" t="n"/>
      <c r="H7" s="47" t="n"/>
      <c r="I7" s="47">
        <f>TEXT(WEEKDAY(DATE(CalendarYear,6,3),1),"jjj")</f>
        <v/>
      </c>
      <c r="J7" s="47" t="n"/>
      <c r="K7" s="47" t="n"/>
      <c r="L7" s="47">
        <f>TEXT(WEEKDAY(DATE(CalendarYear,6,4),1),"jjj")</f>
        <v/>
      </c>
      <c r="M7" s="47" t="n"/>
      <c r="N7" s="47" t="n"/>
      <c r="O7" s="47">
        <f>TEXT(WEEKDAY(DATE(CalendarYear,6,5),1),"jjj")</f>
        <v/>
      </c>
      <c r="P7" s="47" t="n"/>
      <c r="Q7" s="47" t="n"/>
      <c r="R7" s="47">
        <f>TEXT(WEEKDAY(DATE(CalendarYear,6,6),1),"jjj")</f>
        <v/>
      </c>
      <c r="S7" s="47" t="n"/>
      <c r="T7" s="47" t="n"/>
      <c r="U7" s="47">
        <f>TEXT(WEEKDAY(DATE(CalendarYear,6,7),1),"jjj")</f>
        <v/>
      </c>
      <c r="V7" s="47" t="n"/>
      <c r="W7" s="47" t="n"/>
      <c r="X7" s="47">
        <f>TEXT(WEEKDAY(DATE(CalendarYear,6,1),1),"jjj")</f>
        <v/>
      </c>
      <c r="Y7" s="47" t="n"/>
      <c r="Z7" s="47" t="n"/>
      <c r="AA7" s="47">
        <f>TEXT(WEEKDAY(DATE(CalendarYear,6,2),1),"jjj")</f>
        <v/>
      </c>
      <c r="AB7" s="47" t="n"/>
      <c r="AC7" s="47" t="n"/>
      <c r="AD7" s="47">
        <f>TEXT(WEEKDAY(DATE(CalendarYear,6,3),1),"jjj")</f>
        <v/>
      </c>
      <c r="AE7" s="47" t="n"/>
      <c r="AF7" s="47" t="n"/>
      <c r="AG7" s="47">
        <f>TEXT(WEEKDAY(DATE(CalendarYear,6,4),1),"jjj")</f>
        <v/>
      </c>
      <c r="AH7" s="47" t="n"/>
      <c r="AI7" s="47" t="n"/>
      <c r="AJ7" s="47">
        <f>TEXT(WEEKDAY(DATE(CalendarYear,6,5),1),"jjj")</f>
        <v/>
      </c>
      <c r="AK7" s="47" t="n"/>
      <c r="AL7" s="47" t="n"/>
      <c r="AM7" s="47">
        <f>TEXT(WEEKDAY(DATE(CalendarYear,6,6),1),"jjj")</f>
        <v/>
      </c>
      <c r="AN7" s="47" t="n"/>
      <c r="AO7" s="47" t="n"/>
      <c r="AP7" s="47">
        <f>TEXT(WEEKDAY(DATE(CalendarYear,6,7),1),"jjj")</f>
        <v/>
      </c>
      <c r="AQ7" s="47" t="n"/>
      <c r="AR7" s="47" t="n"/>
      <c r="AS7" s="47">
        <f>TEXT(WEEKDAY(DATE(CalendarYear,6,1),1),"jjj")</f>
        <v/>
      </c>
      <c r="AT7" s="47" t="n"/>
      <c r="AU7" s="47" t="n"/>
      <c r="AV7" s="47">
        <f>TEXT(WEEKDAY(DATE(CalendarYear,6,2),1),"jjj")</f>
        <v/>
      </c>
      <c r="AW7" s="47" t="n"/>
      <c r="AX7" s="47" t="n"/>
      <c r="AY7" s="47">
        <f>TEXT(WEEKDAY(DATE(CalendarYear,6,3),1),"jjj")</f>
        <v/>
      </c>
      <c r="AZ7" s="47" t="n"/>
      <c r="BA7" s="47" t="n"/>
      <c r="BB7" s="47">
        <f>TEXT(WEEKDAY(DATE(CalendarYear,6,4),1),"jjj")</f>
        <v/>
      </c>
      <c r="BC7" s="47" t="n"/>
      <c r="BD7" s="47" t="n"/>
      <c r="BE7" s="47">
        <f>TEXT(WEEKDAY(DATE(CalendarYear,6,5),1),"jjj")</f>
        <v/>
      </c>
      <c r="BF7" s="47" t="n"/>
      <c r="BG7" s="47" t="n"/>
      <c r="BH7" s="47">
        <f>TEXT(WEEKDAY(DATE(CalendarYear,6,6),1),"jjj")</f>
        <v/>
      </c>
      <c r="BI7" s="47" t="n"/>
      <c r="BJ7" s="47" t="n"/>
      <c r="BK7" s="47">
        <f>TEXT(WEEKDAY(DATE(CalendarYear,6,7),1),"jjj")</f>
        <v/>
      </c>
      <c r="BL7" s="47" t="n"/>
      <c r="BM7" s="47" t="n"/>
      <c r="BN7" s="47">
        <f>TEXT(WEEKDAY(DATE(CalendarYear,6,1),1),"jjj")</f>
        <v/>
      </c>
      <c r="BO7" s="47" t="n"/>
      <c r="BP7" s="47" t="n"/>
      <c r="BQ7" s="47">
        <f>TEXT(WEEKDAY(DATE(CalendarYear,6,2),1),"jjj")</f>
        <v/>
      </c>
      <c r="BR7" s="47" t="n"/>
      <c r="BS7" s="47" t="n"/>
      <c r="BT7" s="47">
        <f>TEXT(WEEKDAY(DATE(CalendarYear,6,3),1),"jjj")</f>
        <v/>
      </c>
      <c r="BU7" s="47" t="n"/>
      <c r="BV7" s="47" t="n"/>
      <c r="BW7" s="47">
        <f>TEXT(WEEKDAY(DATE(CalendarYear,6,4),1),"jjj")</f>
        <v/>
      </c>
      <c r="BX7" s="47" t="n"/>
      <c r="BY7" s="47" t="n"/>
      <c r="BZ7" s="47">
        <f>TEXT(WEEKDAY(DATE(CalendarYear,6,5),1),"jjj")</f>
        <v/>
      </c>
      <c r="CA7" s="47" t="n"/>
      <c r="CB7" s="47" t="n"/>
      <c r="CC7" s="47">
        <f>TEXT(WEEKDAY(DATE(CalendarYear,6,6),1),"jjj")</f>
        <v/>
      </c>
      <c r="CD7" s="47" t="n"/>
      <c r="CE7" s="47" t="n"/>
      <c r="CF7" s="47">
        <f>TEXT(WEEKDAY(DATE(CalendarYear,6,7),1),"jjj")</f>
        <v/>
      </c>
      <c r="CG7" s="47" t="n"/>
      <c r="CH7" s="47" t="n"/>
      <c r="CI7" s="47">
        <f>TEXT(WEEKDAY(DATE(CalendarYear,6,1),1),"jjj")</f>
        <v/>
      </c>
      <c r="CJ7" s="47" t="n"/>
      <c r="CK7" s="47" t="n"/>
      <c r="CL7" s="47">
        <f>TEXT(WEEKDAY(DATE(CalendarYear,6,2),1),"jjj")</f>
        <v/>
      </c>
      <c r="CM7" s="47" t="n"/>
      <c r="CN7" s="47" t="n"/>
      <c r="CO7" s="47">
        <f>TEXT(WEEKDAY(DATE(CalendarYear,6,3),1),"jjj")</f>
        <v/>
      </c>
      <c r="CP7" s="47" t="n"/>
      <c r="CQ7" s="47" t="n"/>
      <c r="CR7" s="47">
        <f>TEXT(WEEKDAY(DATE(CalendarYear,6,4),1),"jjj")</f>
        <v/>
      </c>
      <c r="CS7" s="47" t="n"/>
      <c r="CT7" s="47" t="n"/>
      <c r="CU7" s="47">
        <f>TEXT(WEEKDAY(DATE(CalendarYear,6,5),1),"jjj")</f>
        <v/>
      </c>
      <c r="CV7" s="47" t="n"/>
      <c r="CW7" s="47" t="n"/>
      <c r="CX7" s="47">
        <f>TEXT(WEEKDAY(DATE(CalendarYear,6,6),1),"jjj")</f>
        <v/>
      </c>
      <c r="CY7" s="47" t="n"/>
      <c r="CZ7" s="47" t="n"/>
      <c r="DA7" s="47">
        <f>TEXT(WEEKDAY(DATE(CalendarYear,6,7),1),"jjj")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COUNTA(Juin24567[[#This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COUNTA(Juin24567[[#This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COUNTA(Juin24567[[#This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COUNTA(Juin24567[[#This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COUNTA(Juin24567[[#This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COUNTA(Juin24567[[#This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SUBTOTAL(103,Juin24567[Colonne343])</f>
        <v/>
      </c>
      <c r="BN17" s="59">
        <f>SUBTOTAL(103,Juin24567[Colonne344])</f>
        <v/>
      </c>
      <c r="BO17" s="59">
        <f>SUBTOTAL(103,Juin24567[Colonne345])</f>
        <v/>
      </c>
      <c r="BP17" s="59">
        <f>SUBTOTAL(103,Juin24567[Colonne346])</f>
        <v/>
      </c>
      <c r="BQ17" s="59">
        <f>SUBTOTAL(103,Juin24567[Colonne347])</f>
        <v/>
      </c>
      <c r="BR17" s="59">
        <f>SUBTOTAL(103,Juin24567[Colonne348])</f>
        <v/>
      </c>
      <c r="BS17" s="59">
        <f>SUBTOTAL(103,Juin24567[Colonne349])</f>
        <v/>
      </c>
      <c r="BT17" s="59">
        <f>SUBTOTAL(103,Juin24567[Colonne350])</f>
        <v/>
      </c>
      <c r="BU17" s="59">
        <f>SUBTOTAL(103,Juin24567[Colonne351])</f>
        <v/>
      </c>
      <c r="BV17" s="59">
        <f>SUBTOTAL(103,Juin24567[Colonne352])</f>
        <v/>
      </c>
      <c r="BW17" s="59">
        <f>SUBTOTAL(103,Juin24567[Colonne353])</f>
        <v/>
      </c>
      <c r="BX17" s="59">
        <f>SUBTOTAL(103,Juin24567[Colonne354])</f>
        <v/>
      </c>
      <c r="BY17" s="59">
        <f>SUBTOTAL(103,Juin24567[Colonne355])</f>
        <v/>
      </c>
      <c r="BZ17" s="59">
        <f>SUBTOTAL(103,Juin24567[Colonne356])</f>
        <v/>
      </c>
      <c r="CA17" s="59">
        <f>SUBTOTAL(103,Juin24567[Colonne357])</f>
        <v/>
      </c>
      <c r="CB17" s="59">
        <f>SUBTOTAL(103,Juin24567[Colonne358])</f>
        <v/>
      </c>
      <c r="CC17" s="59">
        <f>SUBTOTAL(103,Juin24567[Colonne359])</f>
        <v/>
      </c>
      <c r="CD17" s="59">
        <f>SUBTOTAL(103,Juin24567[Colonne360])</f>
        <v/>
      </c>
      <c r="CE17" s="59">
        <f>SUBTOTAL(103,Juin24567[Colonne361])</f>
        <v/>
      </c>
      <c r="CF17" s="59">
        <f>SUBTOTAL(103,Juin24567[Colonne362])</f>
        <v/>
      </c>
      <c r="CG17" s="59">
        <f>SUBTOTAL(103,Juin24567[Colonne363])</f>
        <v/>
      </c>
      <c r="CH17" s="59">
        <f>SUBTOTAL(103,Juin24567[Colonne364])</f>
        <v/>
      </c>
      <c r="CI17" s="59">
        <f>SUBTOTAL(103,Juin24567[Colonne365])</f>
        <v/>
      </c>
      <c r="CJ17" s="59">
        <f>SUBTOTAL(103,Juin24567[Colonne366])</f>
        <v/>
      </c>
      <c r="CK17" s="59">
        <f>SUBTOTAL(103,Juin24567[Colonne367])</f>
        <v/>
      </c>
      <c r="CL17" s="59">
        <f>SUBTOTAL(103,Juin24567[Colonne368])</f>
        <v/>
      </c>
      <c r="CM17" s="59">
        <f>SUBTOTAL(103,Juin24567[Colonne369])</f>
        <v/>
      </c>
      <c r="CN17" s="59">
        <f>SUBTOTAL(103,Juin24567[Colonne370])</f>
        <v/>
      </c>
      <c r="CO17" s="59">
        <f>SUBTOTAL(103,Juin24567[Colonne371])</f>
        <v/>
      </c>
      <c r="CP17" s="59">
        <f>SUBTOTAL(109,Juin24567[Colonne372])</f>
        <v/>
      </c>
      <c r="CQ17" s="59">
        <f>SUBTOTAL(109,Juin24567[Colonne373])</f>
        <v/>
      </c>
      <c r="CR17" s="59">
        <f>SUBTOTAL(109,Juin24567[Colonne32])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 sqref="C4" showDropDown="0" showInputMessage="1" showErrorMessage="1" allowBlank="1" prompt="La lettre « C » indique une absence pour cause de congé"/>
    <dataValidation sqref="F4" showDropDown="0" showInputMessage="1" showErrorMessage="1" allowBlank="1" prompt="La lettre « P » indique une absence pour motifs personnels"/>
    <dataValidation sqref="J4" showDropDown="0" showInputMessage="1" showErrorMessage="1" allowBlank="1" prompt="La lettre « M » indique une absence pour cause de maladie"/>
    <dataValidation sqref="N4 S4" showDropDown="0" showInputMessage="1" showErrorMessage="1" allowBlank="1" prompt="Entrez une lettre et personnalisez l’étiquette à droite pour ajouter un élément de clé"/>
    <dataValidation sqref="O4 T4" showDropDown="0" showInputMessage="1" showErrorMessage="1" allowBlank="1" prompt="Entrez une étiquette pour décrire la clé personnalisée à gauche"/>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B2" showDropDown="0" showInputMessage="1" showErrorMessage="1" allowBlank="1" prompt="Le titre mis à jour automatiquement figure dans cette cellule. Pour modifier le titre, mettez à jour la cellule B1 de la feuille de calcul Janvier"/>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C7 C8:C9 F9 I9 L9 O9 R9 U9 X7 X9 AA9 AD9 AG9 AJ9 AM9 AP9 AS7 AS9 AV9 AY9 BB9 BE9 BH9 BK9 BN7 BN9 BQ9 BT9 BW9 BZ9 CC9 CF9 CI7 CI9 CL9 CO9"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B1" showDropDown="0" showInputMessage="1" showErrorMessage="1" allowBlank="1" prompt="Le titre de la feuille de calcul figure dans cette cellule. "/>
    <dataValidation sqref="AH6" showDropDown="0" showInputMessage="1" showErrorMessage="1" allowBlank="1" prompt="Année mise à jour automatiquement en fonction de l’année entrée dans la feuille de calcul Janvier"/>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7.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R24" sqref="R24"/>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Juillet</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TEXT(WEEKDAY(DATE(CalendarYear,6,3),1),"jjj")</f>
        <v/>
      </c>
      <c r="D7" s="47" t="n"/>
      <c r="E7" s="47" t="n"/>
      <c r="F7" s="47">
        <f>TEXT(WEEKDAY(DATE(CalendarYear,6,4),1),"jjj")</f>
        <v/>
      </c>
      <c r="G7" s="47" t="n"/>
      <c r="H7" s="47" t="n"/>
      <c r="I7" s="47">
        <f>TEXT(WEEKDAY(DATE(CalendarYear,6,5),1),"jjj")</f>
        <v/>
      </c>
      <c r="J7" s="47" t="n"/>
      <c r="K7" s="47" t="n"/>
      <c r="L7" s="47">
        <f>TEXT(WEEKDAY(DATE(CalendarYear,6,6),1),"jjj")</f>
        <v/>
      </c>
      <c r="M7" s="47" t="n"/>
      <c r="N7" s="47" t="n"/>
      <c r="O7" s="47">
        <f>TEXT(WEEKDAY(DATE(CalendarYear,6,7),1),"jjj")</f>
        <v/>
      </c>
      <c r="P7" s="47" t="n"/>
      <c r="Q7" s="47" t="n"/>
      <c r="R7" s="47">
        <f>TEXT(WEEKDAY(DATE(CalendarYear,6,1),1),"jjj")</f>
        <v/>
      </c>
      <c r="S7" s="47" t="n"/>
      <c r="T7" s="47" t="n"/>
      <c r="U7" s="47">
        <f>TEXT(WEEKDAY(DATE(CalendarYear,6,2),1),"jjj")</f>
        <v/>
      </c>
      <c r="V7" s="47" t="n"/>
      <c r="W7" s="47" t="n"/>
      <c r="X7" s="47">
        <f>TEXT(WEEKDAY(DATE(CalendarYear,6,3),1),"jjj")</f>
        <v/>
      </c>
      <c r="Y7" s="47" t="n"/>
      <c r="Z7" s="47" t="n"/>
      <c r="AA7" s="47">
        <f>TEXT(WEEKDAY(DATE(CalendarYear,6,4),1),"jjj")</f>
        <v/>
      </c>
      <c r="AB7" s="47" t="n"/>
      <c r="AC7" s="47" t="n"/>
      <c r="AD7" s="47">
        <f>TEXT(WEEKDAY(DATE(CalendarYear,6,5),1),"jjj")</f>
        <v/>
      </c>
      <c r="AE7" s="47" t="n"/>
      <c r="AF7" s="47" t="n"/>
      <c r="AG7" s="47">
        <f>TEXT(WEEKDAY(DATE(CalendarYear,6,6),1),"jjj")</f>
        <v/>
      </c>
      <c r="AH7" s="47" t="n"/>
      <c r="AI7" s="47" t="n"/>
      <c r="AJ7" s="47">
        <f>TEXT(WEEKDAY(DATE(CalendarYear,6,7),1),"jjj")</f>
        <v/>
      </c>
      <c r="AK7" s="47" t="n"/>
      <c r="AL7" s="47" t="n"/>
      <c r="AM7" s="47">
        <f>TEXT(WEEKDAY(DATE(CalendarYear,6,1),1),"jjj")</f>
        <v/>
      </c>
      <c r="AN7" s="47" t="n"/>
      <c r="AO7" s="47" t="n"/>
      <c r="AP7" s="47">
        <f>TEXT(WEEKDAY(DATE(CalendarYear,6,2),1),"jjj")</f>
        <v/>
      </c>
      <c r="AQ7" s="47" t="n"/>
      <c r="AR7" s="47" t="n"/>
      <c r="AS7" s="47">
        <f>TEXT(WEEKDAY(DATE(CalendarYear,6,3),1),"jjj")</f>
        <v/>
      </c>
      <c r="AT7" s="47" t="n"/>
      <c r="AU7" s="47" t="n"/>
      <c r="AV7" s="47">
        <f>TEXT(WEEKDAY(DATE(CalendarYear,6,4),1),"jjj")</f>
        <v/>
      </c>
      <c r="AW7" s="47" t="n"/>
      <c r="AX7" s="47" t="n"/>
      <c r="AY7" s="47">
        <f>TEXT(WEEKDAY(DATE(CalendarYear,6,5),1),"jjj")</f>
        <v/>
      </c>
      <c r="AZ7" s="47" t="n"/>
      <c r="BA7" s="47" t="n"/>
      <c r="BB7" s="47">
        <f>TEXT(WEEKDAY(DATE(CalendarYear,6,6),1),"jjj")</f>
        <v/>
      </c>
      <c r="BC7" s="47" t="n"/>
      <c r="BD7" s="47" t="n"/>
      <c r="BE7" s="47">
        <f>TEXT(WEEKDAY(DATE(CalendarYear,6,7),1),"jjj")</f>
        <v/>
      </c>
      <c r="BF7" s="47" t="n"/>
      <c r="BG7" s="47" t="n"/>
      <c r="BH7" s="47">
        <f>TEXT(WEEKDAY(DATE(CalendarYear,6,1),1),"jjj")</f>
        <v/>
      </c>
      <c r="BI7" s="47" t="n"/>
      <c r="BJ7" s="47" t="n"/>
      <c r="BK7" s="47">
        <f>TEXT(WEEKDAY(DATE(CalendarYear,6,2),1),"jjj")</f>
        <v/>
      </c>
      <c r="BL7" s="47" t="n"/>
      <c r="BM7" s="47" t="n"/>
      <c r="BN7" s="47">
        <f>TEXT(WEEKDAY(DATE(CalendarYear,6,3),1),"jjj")</f>
        <v/>
      </c>
      <c r="BO7" s="47" t="n"/>
      <c r="BP7" s="47" t="n"/>
      <c r="BQ7" s="47">
        <f>TEXT(WEEKDAY(DATE(CalendarYear,6,4),1),"jjj")</f>
        <v/>
      </c>
      <c r="BR7" s="47" t="n"/>
      <c r="BS7" s="47" t="n"/>
      <c r="BT7" s="47">
        <f>TEXT(WEEKDAY(DATE(CalendarYear,6,5),1),"jjj")</f>
        <v/>
      </c>
      <c r="BU7" s="47" t="n"/>
      <c r="BV7" s="47" t="n"/>
      <c r="BW7" s="47">
        <f>TEXT(WEEKDAY(DATE(CalendarYear,6,6),1),"jjj")</f>
        <v/>
      </c>
      <c r="BX7" s="47" t="n"/>
      <c r="BY7" s="47" t="n"/>
      <c r="BZ7" s="47">
        <f>TEXT(WEEKDAY(DATE(CalendarYear,6,7),1),"jjj")</f>
        <v/>
      </c>
      <c r="CA7" s="47" t="n"/>
      <c r="CB7" s="47" t="n"/>
      <c r="CC7" s="47">
        <f>TEXT(WEEKDAY(DATE(CalendarYear,6,1),1),"jjj")</f>
        <v/>
      </c>
      <c r="CD7" s="47" t="n"/>
      <c r="CE7" s="47" t="n"/>
      <c r="CF7" s="47">
        <f>TEXT(WEEKDAY(DATE(CalendarYear,6,2),1),"jjj")</f>
        <v/>
      </c>
      <c r="CG7" s="47" t="n"/>
      <c r="CH7" s="47" t="n"/>
      <c r="CI7" s="47">
        <f>TEXT(WEEKDAY(DATE(CalendarYear,6,3),1),"jjj")</f>
        <v/>
      </c>
      <c r="CJ7" s="47" t="n"/>
      <c r="CK7" s="47" t="n"/>
      <c r="CL7" s="47">
        <f>TEXT(WEEKDAY(DATE(CalendarYear,6,4),1),"jjj")</f>
        <v/>
      </c>
      <c r="CM7" s="47" t="n"/>
      <c r="CN7" s="47" t="n"/>
      <c r="CO7" s="47">
        <f>TEXT(WEEKDAY(DATE(CalendarYear,6,5),1),"jjj")</f>
        <v/>
      </c>
      <c r="CP7" s="47" t="n"/>
      <c r="CQ7" s="47" t="n"/>
      <c r="CR7" s="47">
        <f>TEXT(WEEKDAY(DATE(CalendarYear,6,6),1),"jjj")</f>
        <v/>
      </c>
      <c r="CS7" s="47" t="n"/>
      <c r="CT7" s="47" t="n"/>
      <c r="CU7" s="47">
        <f>TEXT(WEEKDAY(DATE(CalendarYear,6,7),1),"jjj")</f>
        <v/>
      </c>
      <c r="CV7" s="47" t="n"/>
      <c r="CW7" s="47" t="n"/>
      <c r="CX7" s="47">
        <f>TEXT(WEEKDAY(DATE(CalendarYear,6,1),1),"jjj")</f>
        <v/>
      </c>
      <c r="CY7" s="47" t="n"/>
      <c r="CZ7" s="47" t="n"/>
      <c r="DA7" s="47">
        <f>TEXT(WEEKDAY(DATE(CalendarYear,6,2),1),"jjj")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31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COUNTA(Juin245678[[#This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COUNTA(Juin245678[[#This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COUNTA(Juin245678[[#This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COUNTA(Juin245678[[#This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COUNTA(Juin245678[[#This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COUNTA(Juin245678[[#This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SUBTOTAL(103,Juin245678[Colonne343])</f>
        <v/>
      </c>
      <c r="BN17" s="59">
        <f>SUBTOTAL(103,Juin245678[Colonne344])</f>
        <v/>
      </c>
      <c r="BO17" s="59">
        <f>SUBTOTAL(103,Juin245678[Colonne345])</f>
        <v/>
      </c>
      <c r="BP17" s="59">
        <f>SUBTOTAL(103,Juin245678[Colonne346])</f>
        <v/>
      </c>
      <c r="BQ17" s="59">
        <f>SUBTOTAL(103,Juin245678[Colonne347])</f>
        <v/>
      </c>
      <c r="BR17" s="59">
        <f>SUBTOTAL(103,Juin245678[Colonne348])</f>
        <v/>
      </c>
      <c r="BS17" s="59">
        <f>SUBTOTAL(103,Juin245678[Colonne349])</f>
        <v/>
      </c>
      <c r="BT17" s="59">
        <f>SUBTOTAL(103,Juin245678[Colonne350])</f>
        <v/>
      </c>
      <c r="BU17" s="59">
        <f>SUBTOTAL(103,Juin245678[Colonne351])</f>
        <v/>
      </c>
      <c r="BV17" s="59">
        <f>SUBTOTAL(103,Juin245678[Colonne352])</f>
        <v/>
      </c>
      <c r="BW17" s="59">
        <f>SUBTOTAL(103,Juin245678[Colonne353])</f>
        <v/>
      </c>
      <c r="BX17" s="59">
        <f>SUBTOTAL(103,Juin245678[Colonne354])</f>
        <v/>
      </c>
      <c r="BY17" s="59">
        <f>SUBTOTAL(103,Juin245678[Colonne355])</f>
        <v/>
      </c>
      <c r="BZ17" s="59">
        <f>SUBTOTAL(103,Juin245678[Colonne356])</f>
        <v/>
      </c>
      <c r="CA17" s="59">
        <f>SUBTOTAL(103,Juin245678[Colonne357])</f>
        <v/>
      </c>
      <c r="CB17" s="59">
        <f>SUBTOTAL(103,Juin245678[Colonne358])</f>
        <v/>
      </c>
      <c r="CC17" s="59">
        <f>SUBTOTAL(103,Juin245678[Colonne359])</f>
        <v/>
      </c>
      <c r="CD17" s="59">
        <f>SUBTOTAL(103,Juin245678[Colonne360])</f>
        <v/>
      </c>
      <c r="CE17" s="59">
        <f>SUBTOTAL(103,Juin245678[Colonne361])</f>
        <v/>
      </c>
      <c r="CF17" s="59">
        <f>SUBTOTAL(103,Juin245678[Colonne362])</f>
        <v/>
      </c>
      <c r="CG17" s="59">
        <f>SUBTOTAL(103,Juin245678[Colonne363])</f>
        <v/>
      </c>
      <c r="CH17" s="59">
        <f>SUBTOTAL(103,Juin245678[Colonne364])</f>
        <v/>
      </c>
      <c r="CI17" s="59">
        <f>SUBTOTAL(103,Juin245678[Colonne365])</f>
        <v/>
      </c>
      <c r="CJ17" s="59">
        <f>SUBTOTAL(103,Juin245678[Colonne366])</f>
        <v/>
      </c>
      <c r="CK17" s="59">
        <f>SUBTOTAL(103,Juin245678[Colonne367])</f>
        <v/>
      </c>
      <c r="CL17" s="59">
        <f>SUBTOTAL(103,Juin245678[Colonne368])</f>
        <v/>
      </c>
      <c r="CM17" s="59">
        <f>SUBTOTAL(103,Juin245678[Colonne369])</f>
        <v/>
      </c>
      <c r="CN17" s="59">
        <f>SUBTOTAL(103,Juin245678[Colonne370])</f>
        <v/>
      </c>
      <c r="CO17" s="59">
        <f>SUBTOTAL(103,Juin245678[Colonne371])</f>
        <v/>
      </c>
      <c r="CP17" s="59">
        <f>SUBTOTAL(109,Juin245678[Colonne372])</f>
        <v/>
      </c>
      <c r="CQ17" s="59">
        <f>SUBTOTAL(109,Juin245678[Colonne373])</f>
        <v/>
      </c>
      <c r="CR17" s="59">
        <f>SUBTOTAL(109,Juin245678[Colonne32])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AH6" showDropDown="0" showInputMessage="1" showErrorMessage="1" allowBlank="1" prompt="Année mise à jour automatiquement en fonction de l’année entrée dans la feuille de calcul Janvier"/>
    <dataValidation sqref="B1" showDropDown="0" showInputMessage="1" showErrorMessage="1" allowBlank="1" prompt="Le titre de la feuille de calcul figure dans cette cellule. "/>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C8:C9 F9 I9 L9 O9 R7 R9 U9 X9 AA9 AD9 AG9 AJ9 AM7 AM9 AP9 AS9 AV9 AY9 BB9 BE9 BH7 BH9 BK9 BN9 BQ9 BT9 BW9 BZ9 CC7 CC9 CF9 CI9 CL9 CO9 CX7"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B2" showDropDown="0" showInputMessage="1" showErrorMessage="1" allowBlank="1" prompt="Le titre mis à jour automatiquement figure dans cette cellule. Pour modifier le titre, mettez à jour la cellule B1 de la feuille de calcul Janvier"/>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O4 T4" showDropDown="0" showInputMessage="1" showErrorMessage="1" allowBlank="1" prompt="Entrez une étiquette pour décrire la clé personnalisée à gauche"/>
    <dataValidation sqref="N4 S4" showDropDown="0" showInputMessage="1" showErrorMessage="1" allowBlank="1" prompt="Entrez une lettre et personnalisez l’étiquette à droite pour ajouter un élément de clé"/>
    <dataValidation sqref="J4" showDropDown="0" showInputMessage="1" showErrorMessage="1" allowBlank="1" prompt="La lettre « M » indique une absence pour cause de maladie"/>
    <dataValidation sqref="F4" showDropDown="0" showInputMessage="1" showErrorMessage="1" allowBlank="1" prompt="La lettre « P » indique une absence pour motifs personnels"/>
    <dataValidation sqref="C4" showDropDown="0" showInputMessage="1" showErrorMessage="1" allowBlank="1" prompt="La lettre « C » indique une absence pour cause de congé"/>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8.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AA23" sqref="AA23:AA24"/>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Aout</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TEXT(WEEKDAY(DATE(CalendarYear,6,6),1),"jjj")</f>
        <v/>
      </c>
      <c r="D7" s="47" t="n"/>
      <c r="E7" s="47" t="n"/>
      <c r="F7" s="47">
        <f>TEXT(WEEKDAY(DATE(CalendarYear,6,7),1),"jjj")</f>
        <v/>
      </c>
      <c r="G7" s="47" t="n"/>
      <c r="H7" s="47" t="n"/>
      <c r="I7" s="47">
        <f>TEXT(WEEKDAY(DATE(CalendarYear,6,1),1),"jjj")</f>
        <v/>
      </c>
      <c r="J7" s="47" t="n"/>
      <c r="K7" s="47" t="n"/>
      <c r="L7" s="47">
        <f>TEXT(WEEKDAY(DATE(CalendarYear,6,2),1),"jjj")</f>
        <v/>
      </c>
      <c r="M7" s="47" t="n"/>
      <c r="N7" s="47" t="n"/>
      <c r="O7" s="47">
        <f>TEXT(WEEKDAY(DATE(CalendarYear,6,3),1),"jjj")</f>
        <v/>
      </c>
      <c r="P7" s="47" t="n"/>
      <c r="Q7" s="47" t="n"/>
      <c r="R7" s="47">
        <f>TEXT(WEEKDAY(DATE(CalendarYear,6,4),1),"jjj")</f>
        <v/>
      </c>
      <c r="S7" s="47" t="n"/>
      <c r="T7" s="47" t="n"/>
      <c r="U7" s="47">
        <f>TEXT(WEEKDAY(DATE(CalendarYear,6,5),1),"jjj")</f>
        <v/>
      </c>
      <c r="V7" s="47" t="n"/>
      <c r="W7" s="47" t="n"/>
      <c r="X7" s="47">
        <f>TEXT(WEEKDAY(DATE(CalendarYear,6,6),1),"jjj")</f>
        <v/>
      </c>
      <c r="Y7" s="47" t="n"/>
      <c r="Z7" s="47" t="n"/>
      <c r="AA7" s="47">
        <f>TEXT(WEEKDAY(DATE(CalendarYear,6,7),1),"jjj")</f>
        <v/>
      </c>
      <c r="AB7" s="47" t="n"/>
      <c r="AC7" s="47" t="n"/>
      <c r="AD7" s="47">
        <f>TEXT(WEEKDAY(DATE(CalendarYear,6,1),1),"jjj")</f>
        <v/>
      </c>
      <c r="AE7" s="47" t="n"/>
      <c r="AF7" s="47" t="n"/>
      <c r="AG7" s="47">
        <f>TEXT(WEEKDAY(DATE(CalendarYear,6,2),1),"jjj")</f>
        <v/>
      </c>
      <c r="AH7" s="47" t="n"/>
      <c r="AI7" s="47" t="n"/>
      <c r="AJ7" s="47">
        <f>TEXT(WEEKDAY(DATE(CalendarYear,6,3),1),"jjj")</f>
        <v/>
      </c>
      <c r="AK7" s="47" t="n"/>
      <c r="AL7" s="47" t="n"/>
      <c r="AM7" s="47">
        <f>TEXT(WEEKDAY(DATE(CalendarYear,6,4),1),"jjj")</f>
        <v/>
      </c>
      <c r="AN7" s="47" t="n"/>
      <c r="AO7" s="47" t="n"/>
      <c r="AP7" s="47">
        <f>TEXT(WEEKDAY(DATE(CalendarYear,6,5),1),"jjj")</f>
        <v/>
      </c>
      <c r="AQ7" s="47" t="n"/>
      <c r="AR7" s="47" t="n"/>
      <c r="AS7" s="47">
        <f>TEXT(WEEKDAY(DATE(CalendarYear,6,6),1),"jjj")</f>
        <v/>
      </c>
      <c r="AT7" s="47" t="n"/>
      <c r="AU7" s="47" t="n"/>
      <c r="AV7" s="47">
        <f>TEXT(WEEKDAY(DATE(CalendarYear,6,7),1),"jjj")</f>
        <v/>
      </c>
      <c r="AW7" s="47" t="n"/>
      <c r="AX7" s="47" t="n"/>
      <c r="AY7" s="47">
        <f>TEXT(WEEKDAY(DATE(CalendarYear,6,1),1),"jjj")</f>
        <v/>
      </c>
      <c r="AZ7" s="47" t="n"/>
      <c r="BA7" s="47" t="n"/>
      <c r="BB7" s="47">
        <f>TEXT(WEEKDAY(DATE(CalendarYear,6,2),1),"jjj")</f>
        <v/>
      </c>
      <c r="BC7" s="47" t="n"/>
      <c r="BD7" s="47" t="n"/>
      <c r="BE7" s="47">
        <f>TEXT(WEEKDAY(DATE(CalendarYear,6,3),1),"jjj")</f>
        <v/>
      </c>
      <c r="BF7" s="47" t="n"/>
      <c r="BG7" s="47" t="n"/>
      <c r="BH7" s="47">
        <f>TEXT(WEEKDAY(DATE(CalendarYear,6,4),1),"jjj")</f>
        <v/>
      </c>
      <c r="BI7" s="47" t="n"/>
      <c r="BJ7" s="47" t="n"/>
      <c r="BK7" s="47">
        <f>TEXT(WEEKDAY(DATE(CalendarYear,6,5),1),"jjj")</f>
        <v/>
      </c>
      <c r="BL7" s="47" t="n"/>
      <c r="BM7" s="47" t="n"/>
      <c r="BN7" s="47">
        <f>TEXT(WEEKDAY(DATE(CalendarYear,6,6),1),"jjj")</f>
        <v/>
      </c>
      <c r="BO7" s="47" t="n"/>
      <c r="BP7" s="47" t="n"/>
      <c r="BQ7" s="47">
        <f>TEXT(WEEKDAY(DATE(CalendarYear,6,7),1),"jjj")</f>
        <v/>
      </c>
      <c r="BR7" s="47" t="n"/>
      <c r="BS7" s="47" t="n"/>
      <c r="BT7" s="47">
        <f>TEXT(WEEKDAY(DATE(CalendarYear,6,1),1),"jjj")</f>
        <v/>
      </c>
      <c r="BU7" s="47" t="n"/>
      <c r="BV7" s="47" t="n"/>
      <c r="BW7" s="47">
        <f>TEXT(WEEKDAY(DATE(CalendarYear,6,2),1),"jjj")</f>
        <v/>
      </c>
      <c r="BX7" s="47" t="n"/>
      <c r="BY7" s="47" t="n"/>
      <c r="BZ7" s="47">
        <f>TEXT(WEEKDAY(DATE(CalendarYear,6,3),1),"jjj")</f>
        <v/>
      </c>
      <c r="CA7" s="47" t="n"/>
      <c r="CB7" s="47" t="n"/>
      <c r="CC7" s="47">
        <f>TEXT(WEEKDAY(DATE(CalendarYear,6,4),1),"jjj")</f>
        <v/>
      </c>
      <c r="CD7" s="47" t="n"/>
      <c r="CE7" s="47" t="n"/>
      <c r="CF7" s="47">
        <f>TEXT(WEEKDAY(DATE(CalendarYear,6,5),1),"jjj")</f>
        <v/>
      </c>
      <c r="CG7" s="47" t="n"/>
      <c r="CH7" s="47" t="n"/>
      <c r="CI7" s="47">
        <f>TEXT(WEEKDAY(DATE(CalendarYear,6,6),1),"jjj")</f>
        <v/>
      </c>
      <c r="CJ7" s="47" t="n"/>
      <c r="CK7" s="47" t="n"/>
      <c r="CL7" s="47">
        <f>TEXT(WEEKDAY(DATE(CalendarYear,6,7),1),"jjj")</f>
        <v/>
      </c>
      <c r="CM7" s="47" t="n"/>
      <c r="CN7" s="47" t="n"/>
      <c r="CO7" s="47">
        <f>TEXT(WEEKDAY(DATE(CalendarYear,6,1),1),"jjj")</f>
        <v/>
      </c>
      <c r="CP7" s="47" t="n"/>
      <c r="CQ7" s="47" t="n"/>
      <c r="CR7" s="47">
        <f>TEXT(WEEKDAY(DATE(CalendarYear,6,2),1),"jjj")</f>
        <v/>
      </c>
      <c r="CS7" s="47" t="n"/>
      <c r="CT7" s="47" t="n"/>
      <c r="CU7" s="47">
        <f>TEXT(WEEKDAY(DATE(CalendarYear,6,3),1),"jjj")</f>
        <v/>
      </c>
      <c r="CV7" s="47" t="n"/>
      <c r="CW7" s="47" t="n"/>
      <c r="CX7" s="47">
        <f>TEXT(WEEKDAY(DATE(CalendarYear,6,4),1),"jjj")</f>
        <v/>
      </c>
      <c r="CY7" s="47" t="n"/>
      <c r="CZ7" s="47" t="n"/>
      <c r="DA7" s="47">
        <f>TEXT(WEEKDAY(DATE(CalendarYear,6,5),1),"jjj")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31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COUNTA(Juin2456789[[#This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COUNTA(Juin2456789[[#This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COUNTA(Juin2456789[[#This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COUNTA(Juin2456789[[#This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COUNTA(Juin2456789[[#This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COUNTA(Juin2456789[[#This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SUBTOTAL(103,Juin2456789[Colonne343])</f>
        <v/>
      </c>
      <c r="BN17" s="59">
        <f>SUBTOTAL(103,Juin2456789[Colonne344])</f>
        <v/>
      </c>
      <c r="BO17" s="59">
        <f>SUBTOTAL(103,Juin2456789[Colonne345])</f>
        <v/>
      </c>
      <c r="BP17" s="59">
        <f>SUBTOTAL(103,Juin2456789[Colonne346])</f>
        <v/>
      </c>
      <c r="BQ17" s="59">
        <f>SUBTOTAL(103,Juin2456789[Colonne347])</f>
        <v/>
      </c>
      <c r="BR17" s="59">
        <f>SUBTOTAL(103,Juin2456789[Colonne348])</f>
        <v/>
      </c>
      <c r="BS17" s="59">
        <f>SUBTOTAL(103,Juin2456789[Colonne349])</f>
        <v/>
      </c>
      <c r="BT17" s="59">
        <f>SUBTOTAL(103,Juin2456789[Colonne350])</f>
        <v/>
      </c>
      <c r="BU17" s="59">
        <f>SUBTOTAL(103,Juin2456789[Colonne351])</f>
        <v/>
      </c>
      <c r="BV17" s="59">
        <f>SUBTOTAL(103,Juin2456789[Colonne352])</f>
        <v/>
      </c>
      <c r="BW17" s="59">
        <f>SUBTOTAL(103,Juin2456789[Colonne353])</f>
        <v/>
      </c>
      <c r="BX17" s="59">
        <f>SUBTOTAL(103,Juin2456789[Colonne354])</f>
        <v/>
      </c>
      <c r="BY17" s="59">
        <f>SUBTOTAL(103,Juin2456789[Colonne355])</f>
        <v/>
      </c>
      <c r="BZ17" s="59">
        <f>SUBTOTAL(103,Juin2456789[Colonne356])</f>
        <v/>
      </c>
      <c r="CA17" s="59">
        <f>SUBTOTAL(103,Juin2456789[Colonne357])</f>
        <v/>
      </c>
      <c r="CB17" s="59">
        <f>SUBTOTAL(103,Juin2456789[Colonne358])</f>
        <v/>
      </c>
      <c r="CC17" s="59">
        <f>SUBTOTAL(103,Juin2456789[Colonne359])</f>
        <v/>
      </c>
      <c r="CD17" s="59">
        <f>SUBTOTAL(103,Juin2456789[Colonne360])</f>
        <v/>
      </c>
      <c r="CE17" s="59">
        <f>SUBTOTAL(103,Juin2456789[Colonne361])</f>
        <v/>
      </c>
      <c r="CF17" s="59">
        <f>SUBTOTAL(103,Juin2456789[Colonne362])</f>
        <v/>
      </c>
      <c r="CG17" s="59">
        <f>SUBTOTAL(103,Juin2456789[Colonne363])</f>
        <v/>
      </c>
      <c r="CH17" s="59">
        <f>SUBTOTAL(103,Juin2456789[Colonne364])</f>
        <v/>
      </c>
      <c r="CI17" s="59">
        <f>SUBTOTAL(103,Juin2456789[Colonne365])</f>
        <v/>
      </c>
      <c r="CJ17" s="59">
        <f>SUBTOTAL(103,Juin2456789[Colonne366])</f>
        <v/>
      </c>
      <c r="CK17" s="59">
        <f>SUBTOTAL(103,Juin2456789[Colonne367])</f>
        <v/>
      </c>
      <c r="CL17" s="59">
        <f>SUBTOTAL(103,Juin2456789[Colonne368])</f>
        <v/>
      </c>
      <c r="CM17" s="59">
        <f>SUBTOTAL(103,Juin2456789[Colonne369])</f>
        <v/>
      </c>
      <c r="CN17" s="59">
        <f>SUBTOTAL(103,Juin2456789[Colonne370])</f>
        <v/>
      </c>
      <c r="CO17" s="59">
        <f>SUBTOTAL(103,Juin2456789[Colonne371])</f>
        <v/>
      </c>
      <c r="CP17" s="59">
        <f>SUBTOTAL(109,Juin2456789[Colonne372])</f>
        <v/>
      </c>
      <c r="CQ17" s="59">
        <f>SUBTOTAL(109,Juin2456789[Colonne373])</f>
        <v/>
      </c>
      <c r="CR17" s="59">
        <f>SUBTOTAL(109,Juin2456789[Colonne32])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 sqref="C4" showDropDown="0" showInputMessage="1" showErrorMessage="1" allowBlank="1" prompt="La lettre « C » indique une absence pour cause de congé"/>
    <dataValidation sqref="F4" showDropDown="0" showInputMessage="1" showErrorMessage="1" allowBlank="1" prompt="La lettre « P » indique une absence pour motifs personnels"/>
    <dataValidation sqref="J4" showDropDown="0" showInputMessage="1" showErrorMessage="1" allowBlank="1" prompt="La lettre « M » indique une absence pour cause de maladie"/>
    <dataValidation sqref="N4 S4" showDropDown="0" showInputMessage="1" showErrorMessage="1" allowBlank="1" prompt="Entrez une lettre et personnalisez l’étiquette à droite pour ajouter un élément de clé"/>
    <dataValidation sqref="O4 T4" showDropDown="0" showInputMessage="1" showErrorMessage="1" allowBlank="1" prompt="Entrez une étiquette pour décrire la clé personnalisée à gauche"/>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B2" showDropDown="0" showInputMessage="1" showErrorMessage="1" allowBlank="1" prompt="Le titre mis à jour automatiquement figure dans cette cellule. Pour modifier le titre, mettez à jour la cellule B1 de la feuille de calcul Janvier"/>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C8:C9 F9 I7 I9 L9 O9 R9 U9 X9 AA9 AD7 AD9 AG9 AJ9 AM9 AP9 AS9 AV9 AY7 AY9 BB9 BE9 BH9 BK9 BN9 BQ9 BT7 BT9 BW9 BZ9 CC9 CF9 CI9 CL9 CO7 CO9"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B1" showDropDown="0" showInputMessage="1" showErrorMessage="1" allowBlank="1" prompt="Le titre de la feuille de calcul figure dans cette cellule. "/>
    <dataValidation sqref="AH6" showDropDown="0" showInputMessage="1" showErrorMessage="1" allowBlank="1" prompt="Année mise à jour automatiquement en fonction de l’année entrée dans la feuille de calcul Janvier"/>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9.xml><?xml version="1.0" encoding="utf-8"?>
<worksheet xmlns="http://schemas.openxmlformats.org/spreadsheetml/2006/main">
  <sheetPr>
    <tabColor theme="6" tint="0.3999755851924192"/>
    <outlinePr summaryBelow="1" summaryRight="1"/>
    <pageSetUpPr/>
  </sheetPr>
  <dimension ref="A1:DX19"/>
  <sheetViews>
    <sheetView showGridLines="0" tabSelected="1" zoomScale="85" zoomScaleNormal="85" workbookViewId="0">
      <selection activeCell="R22" sqref="R22"/>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Septembre</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TEXT(WEEKDAY(DATE(CalendarYear,6,2),1),"jjj")</f>
        <v/>
      </c>
      <c r="D7" s="47" t="n"/>
      <c r="E7" s="47" t="n"/>
      <c r="F7" s="47">
        <f>TEXT(WEEKDAY(DATE(CalendarYear,6,3),1),"jjj")</f>
        <v/>
      </c>
      <c r="G7" s="47" t="n"/>
      <c r="H7" s="47" t="n"/>
      <c r="I7" s="47">
        <f>TEXT(WEEKDAY(DATE(CalendarYear,6,4),1),"jjj")</f>
        <v/>
      </c>
      <c r="J7" s="47" t="n"/>
      <c r="K7" s="47" t="n"/>
      <c r="L7" s="47">
        <f>TEXT(WEEKDAY(DATE(CalendarYear,6,5),1),"jjj")</f>
        <v/>
      </c>
      <c r="M7" s="47" t="n"/>
      <c r="N7" s="47" t="n"/>
      <c r="O7" s="47">
        <f>TEXT(WEEKDAY(DATE(CalendarYear,6,6),1),"jjj")</f>
        <v/>
      </c>
      <c r="P7" s="47" t="n"/>
      <c r="Q7" s="47" t="n"/>
      <c r="R7" s="47">
        <f>TEXT(WEEKDAY(DATE(CalendarYear,6,7),1),"jjj")</f>
        <v/>
      </c>
      <c r="S7" s="47" t="n"/>
      <c r="T7" s="47" t="n"/>
      <c r="U7" s="47">
        <f>TEXT(WEEKDAY(DATE(CalendarYear,6,1),1),"jjj")</f>
        <v/>
      </c>
      <c r="V7" s="47" t="n"/>
      <c r="W7" s="47" t="n"/>
      <c r="X7" s="47">
        <f>TEXT(WEEKDAY(DATE(CalendarYear,6,2),1),"jjj")</f>
        <v/>
      </c>
      <c r="Y7" s="47" t="n"/>
      <c r="Z7" s="47" t="n"/>
      <c r="AA7" s="47">
        <f>TEXT(WEEKDAY(DATE(CalendarYear,6,3),1),"jjj")</f>
        <v/>
      </c>
      <c r="AB7" s="47" t="n"/>
      <c r="AC7" s="47" t="n"/>
      <c r="AD7" s="47">
        <f>TEXT(WEEKDAY(DATE(CalendarYear,6,4),1),"jjj")</f>
        <v/>
      </c>
      <c r="AE7" s="47" t="n"/>
      <c r="AF7" s="47" t="n"/>
      <c r="AG7" s="47">
        <f>TEXT(WEEKDAY(DATE(CalendarYear,6,5),1),"jjj")</f>
        <v/>
      </c>
      <c r="AH7" s="47" t="n"/>
      <c r="AI7" s="47" t="n"/>
      <c r="AJ7" s="47">
        <f>TEXT(WEEKDAY(DATE(CalendarYear,6,6),1),"jjj")</f>
        <v/>
      </c>
      <c r="AK7" s="47" t="n"/>
      <c r="AL7" s="47" t="n"/>
      <c r="AM7" s="47">
        <f>TEXT(WEEKDAY(DATE(CalendarYear,6,7),1),"jjj")</f>
        <v/>
      </c>
      <c r="AN7" s="47" t="n"/>
      <c r="AO7" s="47" t="n"/>
      <c r="AP7" s="47">
        <f>TEXT(WEEKDAY(DATE(CalendarYear,6,1),1),"jjj")</f>
        <v/>
      </c>
      <c r="AQ7" s="47" t="n"/>
      <c r="AR7" s="47" t="n"/>
      <c r="AS7" s="47">
        <f>TEXT(WEEKDAY(DATE(CalendarYear,6,2),1),"jjj")</f>
        <v/>
      </c>
      <c r="AT7" s="47" t="n"/>
      <c r="AU7" s="47" t="n"/>
      <c r="AV7" s="47">
        <f>TEXT(WEEKDAY(DATE(CalendarYear,6,3),1),"jjj")</f>
        <v/>
      </c>
      <c r="AW7" s="47" t="n"/>
      <c r="AX7" s="47" t="n"/>
      <c r="AY7" s="47">
        <f>TEXT(WEEKDAY(DATE(CalendarYear,6,4),1),"jjj")</f>
        <v/>
      </c>
      <c r="AZ7" s="47" t="n"/>
      <c r="BA7" s="47" t="n"/>
      <c r="BB7" s="47">
        <f>TEXT(WEEKDAY(DATE(CalendarYear,6,5),1),"jjj")</f>
        <v/>
      </c>
      <c r="BC7" s="47" t="n"/>
      <c r="BD7" s="47" t="n"/>
      <c r="BE7" s="47">
        <f>TEXT(WEEKDAY(DATE(CalendarYear,6,6),1),"jjj")</f>
        <v/>
      </c>
      <c r="BF7" s="47" t="n"/>
      <c r="BG7" s="47" t="n"/>
      <c r="BH7" s="47">
        <f>TEXT(WEEKDAY(DATE(CalendarYear,6,7),1),"jjj")</f>
        <v/>
      </c>
      <c r="BI7" s="47" t="n"/>
      <c r="BJ7" s="47" t="n"/>
      <c r="BK7" s="47">
        <f>TEXT(WEEKDAY(DATE(CalendarYear,6,1),1),"jjj")</f>
        <v/>
      </c>
      <c r="BL7" s="47" t="n"/>
      <c r="BM7" s="47" t="n"/>
      <c r="BN7" s="47">
        <f>TEXT(WEEKDAY(DATE(CalendarYear,6,2),1),"jjj")</f>
        <v/>
      </c>
      <c r="BO7" s="47" t="n"/>
      <c r="BP7" s="47" t="n"/>
      <c r="BQ7" s="47">
        <f>TEXT(WEEKDAY(DATE(CalendarYear,6,3),1),"jjj")</f>
        <v/>
      </c>
      <c r="BR7" s="47" t="n"/>
      <c r="BS7" s="47" t="n"/>
      <c r="BT7" s="47">
        <f>TEXT(WEEKDAY(DATE(CalendarYear,6,4),1),"jjj")</f>
        <v/>
      </c>
      <c r="BU7" s="47" t="n"/>
      <c r="BV7" s="47" t="n"/>
      <c r="BW7" s="47">
        <f>TEXT(WEEKDAY(DATE(CalendarYear,6,5),1),"jjj")</f>
        <v/>
      </c>
      <c r="BX7" s="47" t="n"/>
      <c r="BY7" s="47" t="n"/>
      <c r="BZ7" s="47">
        <f>TEXT(WEEKDAY(DATE(CalendarYear,6,6),1),"jjj")</f>
        <v/>
      </c>
      <c r="CA7" s="47" t="n"/>
      <c r="CB7" s="47" t="n"/>
      <c r="CC7" s="47">
        <f>TEXT(WEEKDAY(DATE(CalendarYear,6,7),1),"jjj")</f>
        <v/>
      </c>
      <c r="CD7" s="47" t="n"/>
      <c r="CE7" s="47" t="n"/>
      <c r="CF7" s="47">
        <f>TEXT(WEEKDAY(DATE(CalendarYear,6,1),1),"jjj")</f>
        <v/>
      </c>
      <c r="CG7" s="47" t="n"/>
      <c r="CH7" s="47" t="n"/>
      <c r="CI7" s="47">
        <f>TEXT(WEEKDAY(DATE(CalendarYear,6,2),1),"jjj")</f>
        <v/>
      </c>
      <c r="CJ7" s="47" t="n"/>
      <c r="CK7" s="47" t="n"/>
      <c r="CL7" s="47">
        <f>TEXT(WEEKDAY(DATE(CalendarYear,6,3),1),"jjj")</f>
        <v/>
      </c>
      <c r="CM7" s="47" t="n"/>
      <c r="CN7" s="47" t="n"/>
      <c r="CO7" s="47">
        <f>TEXT(WEEKDAY(DATE(CalendarYear,6,4),1),"jjj")</f>
        <v/>
      </c>
      <c r="CP7" s="47" t="n"/>
      <c r="CQ7" s="47" t="n"/>
      <c r="CR7" s="47">
        <f>TEXT(WEEKDAY(DATE(CalendarYear,6,5),1),"jjj")</f>
        <v/>
      </c>
      <c r="CS7" s="47" t="n"/>
      <c r="CT7" s="47" t="n"/>
      <c r="CU7" s="47">
        <f>TEXT(WEEKDAY(DATE(CalendarYear,6,6),1),"jjj")</f>
        <v/>
      </c>
      <c r="CV7" s="47" t="n"/>
      <c r="CW7" s="47" t="n"/>
      <c r="CX7" s="47">
        <f>TEXT(WEEKDAY(DATE(CalendarYear,6,7),1),"jjj")</f>
        <v/>
      </c>
      <c r="CY7" s="47" t="n"/>
      <c r="CZ7" s="47" t="n"/>
      <c r="DA7" s="47">
        <f>TEXT(WEEKDAY(DATE(CalendarYear,6,1),1),"jjj")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COUNTA(Juin245678910[[#This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COUNTA(Juin245678910[[#This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COUNTA(Juin245678910[[#This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COUNTA(Juin245678910[[#This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COUNTA(Juin245678910[[#This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COUNTA(Juin245678910[[#This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SUBTOTAL(103,Juin245678910[Colonne343])</f>
        <v/>
      </c>
      <c r="BN17" s="59">
        <f>SUBTOTAL(103,Juin245678910[Colonne344])</f>
        <v/>
      </c>
      <c r="BO17" s="59">
        <f>SUBTOTAL(103,Juin245678910[Colonne345])</f>
        <v/>
      </c>
      <c r="BP17" s="59">
        <f>SUBTOTAL(103,Juin245678910[Colonne346])</f>
        <v/>
      </c>
      <c r="BQ17" s="59">
        <f>SUBTOTAL(103,Juin245678910[Colonne347])</f>
        <v/>
      </c>
      <c r="BR17" s="59">
        <f>SUBTOTAL(103,Juin245678910[Colonne348])</f>
        <v/>
      </c>
      <c r="BS17" s="59">
        <f>SUBTOTAL(103,Juin245678910[Colonne349])</f>
        <v/>
      </c>
      <c r="BT17" s="59">
        <f>SUBTOTAL(103,Juin245678910[Colonne350])</f>
        <v/>
      </c>
      <c r="BU17" s="59">
        <f>SUBTOTAL(103,Juin245678910[Colonne351])</f>
        <v/>
      </c>
      <c r="BV17" s="59">
        <f>SUBTOTAL(103,Juin245678910[Colonne352])</f>
        <v/>
      </c>
      <c r="BW17" s="59">
        <f>SUBTOTAL(103,Juin245678910[Colonne353])</f>
        <v/>
      </c>
      <c r="BX17" s="59">
        <f>SUBTOTAL(103,Juin245678910[Colonne354])</f>
        <v/>
      </c>
      <c r="BY17" s="59">
        <f>SUBTOTAL(103,Juin245678910[Colonne355])</f>
        <v/>
      </c>
      <c r="BZ17" s="59">
        <f>SUBTOTAL(103,Juin245678910[Colonne356])</f>
        <v/>
      </c>
      <c r="CA17" s="59">
        <f>SUBTOTAL(103,Juin245678910[Colonne357])</f>
        <v/>
      </c>
      <c r="CB17" s="59">
        <f>SUBTOTAL(103,Juin245678910[Colonne358])</f>
        <v/>
      </c>
      <c r="CC17" s="59">
        <f>SUBTOTAL(103,Juin245678910[Colonne359])</f>
        <v/>
      </c>
      <c r="CD17" s="59">
        <f>SUBTOTAL(103,Juin245678910[Colonne360])</f>
        <v/>
      </c>
      <c r="CE17" s="59">
        <f>SUBTOTAL(103,Juin245678910[Colonne361])</f>
        <v/>
      </c>
      <c r="CF17" s="59">
        <f>SUBTOTAL(103,Juin245678910[Colonne362])</f>
        <v/>
      </c>
      <c r="CG17" s="59">
        <f>SUBTOTAL(103,Juin245678910[Colonne363])</f>
        <v/>
      </c>
      <c r="CH17" s="59">
        <f>SUBTOTAL(103,Juin245678910[Colonne364])</f>
        <v/>
      </c>
      <c r="CI17" s="59">
        <f>SUBTOTAL(103,Juin245678910[Colonne365])</f>
        <v/>
      </c>
      <c r="CJ17" s="59">
        <f>SUBTOTAL(103,Juin245678910[Colonne366])</f>
        <v/>
      </c>
      <c r="CK17" s="59">
        <f>SUBTOTAL(103,Juin245678910[Colonne367])</f>
        <v/>
      </c>
      <c r="CL17" s="59">
        <f>SUBTOTAL(103,Juin245678910[Colonne368])</f>
        <v/>
      </c>
      <c r="CM17" s="59">
        <f>SUBTOTAL(103,Juin245678910[Colonne369])</f>
        <v/>
      </c>
      <c r="CN17" s="59">
        <f>SUBTOTAL(103,Juin245678910[Colonne370])</f>
        <v/>
      </c>
      <c r="CO17" s="59">
        <f>SUBTOTAL(103,Juin245678910[Colonne371])</f>
        <v/>
      </c>
      <c r="CP17" s="59">
        <f>SUBTOTAL(109,Juin245678910[Colonne372])</f>
        <v/>
      </c>
      <c r="CQ17" s="59">
        <f>SUBTOTAL(109,Juin245678910[Colonne373])</f>
        <v/>
      </c>
      <c r="CR17" s="59">
        <f>SUBTOTAL(109,Juin245678910[Colonne32])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AH6" showDropDown="0" showInputMessage="1" showErrorMessage="1" allowBlank="1" prompt="Année mise à jour automatiquement en fonction de l’année entrée dans la feuille de calcul Janvier"/>
    <dataValidation sqref="B1" showDropDown="0" showInputMessage="1" showErrorMessage="1" allowBlank="1" prompt="Le titre de la feuille de calcul figure dans cette cellule. "/>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C8:C9 F9 I9 L9 O9 R9 U7 U9 X9 AA9 AD9 AG9 AJ9 AM9 AP7 AP9 AS9 AV9 AY9 BB9 BE9 BH9 BK7 BK9 BN9 BQ9 BT9 BW9 BZ9 CC9 CF7 CF9 CI9 CL9 CO9 DA7"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B2" showDropDown="0" showInputMessage="1" showErrorMessage="1" allowBlank="1" prompt="Le titre mis à jour automatiquement figure dans cette cellule. Pour modifier le titre, mettez à jour la cellule B1 de la feuille de calcul Janvier"/>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O4 T4" showDropDown="0" showInputMessage="1" showErrorMessage="1" allowBlank="1" prompt="Entrez une étiquette pour décrire la clé personnalisée à gauche"/>
    <dataValidation sqref="N4 S4" showDropDown="0" showInputMessage="1" showErrorMessage="1" allowBlank="1" prompt="Entrez une lettre et personnalisez l’étiquette à droite pour ajouter un élément de clé"/>
    <dataValidation sqref="J4" showDropDown="0" showInputMessage="1" showErrorMessage="1" allowBlank="1" prompt="La lettre « M » indique une absence pour cause de maladie"/>
    <dataValidation sqref="F4" showDropDown="0" showInputMessage="1" showErrorMessage="1" allowBlank="1" prompt="La lettre « P » indique une absence pour motifs personnels"/>
    <dataValidation sqref="C4" showDropDown="0" showInputMessage="1" showErrorMessage="1" allowBlank="1" prompt="La lettre « C » indique une absence pour cause de congé"/>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10.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AH27" sqref="AH27"/>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Octobre</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TEXT(WEEKDAY(DATE(CalendarYear,6,4),1),"jjj")</f>
        <v/>
      </c>
      <c r="D7" s="47" t="n"/>
      <c r="E7" s="47" t="n"/>
      <c r="F7" s="47">
        <f>TEXT(WEEKDAY(DATE(CalendarYear,6,5),1),"jjj")</f>
        <v/>
      </c>
      <c r="G7" s="47" t="n"/>
      <c r="H7" s="47" t="n"/>
      <c r="I7" s="47">
        <f>TEXT(WEEKDAY(DATE(CalendarYear,6,6),1),"jjj")</f>
        <v/>
      </c>
      <c r="J7" s="47" t="n"/>
      <c r="K7" s="47" t="n"/>
      <c r="L7" s="47">
        <f>TEXT(WEEKDAY(DATE(CalendarYear,6,7),1),"jjj")</f>
        <v/>
      </c>
      <c r="M7" s="47" t="n"/>
      <c r="N7" s="47" t="n"/>
      <c r="O7" s="47">
        <f>TEXT(WEEKDAY(DATE(CalendarYear,6,1),1),"jjj")</f>
        <v/>
      </c>
      <c r="P7" s="47" t="n"/>
      <c r="Q7" s="47" t="n"/>
      <c r="R7" s="47">
        <f>TEXT(WEEKDAY(DATE(CalendarYear,6,2),1),"jjj")</f>
        <v/>
      </c>
      <c r="S7" s="47" t="n"/>
      <c r="T7" s="47" t="n"/>
      <c r="U7" s="47">
        <f>TEXT(WEEKDAY(DATE(CalendarYear,6,3),1),"jjj")</f>
        <v/>
      </c>
      <c r="V7" s="47" t="n"/>
      <c r="W7" s="47" t="n"/>
      <c r="X7" s="47">
        <f>TEXT(WEEKDAY(DATE(CalendarYear,6,4),1),"jjj")</f>
        <v/>
      </c>
      <c r="Y7" s="47" t="n"/>
      <c r="Z7" s="47" t="n"/>
      <c r="AA7" s="47">
        <f>TEXT(WEEKDAY(DATE(CalendarYear,6,5),1),"jjj")</f>
        <v/>
      </c>
      <c r="AB7" s="47" t="n"/>
      <c r="AC7" s="47" t="n"/>
      <c r="AD7" s="47">
        <f>TEXT(WEEKDAY(DATE(CalendarYear,6,6),1),"jjj")</f>
        <v/>
      </c>
      <c r="AE7" s="47" t="n"/>
      <c r="AF7" s="47" t="n"/>
      <c r="AG7" s="47">
        <f>TEXT(WEEKDAY(DATE(CalendarYear,6,7),1),"jjj")</f>
        <v/>
      </c>
      <c r="AH7" s="47" t="n"/>
      <c r="AI7" s="47" t="n"/>
      <c r="AJ7" s="47">
        <f>TEXT(WEEKDAY(DATE(CalendarYear,6,1),1),"jjj")</f>
        <v/>
      </c>
      <c r="AK7" s="47" t="n"/>
      <c r="AL7" s="47" t="n"/>
      <c r="AM7" s="47">
        <f>TEXT(WEEKDAY(DATE(CalendarYear,6,2),1),"jjj")</f>
        <v/>
      </c>
      <c r="AN7" s="47" t="n"/>
      <c r="AO7" s="47" t="n"/>
      <c r="AP7" s="47">
        <f>TEXT(WEEKDAY(DATE(CalendarYear,6,3),1),"jjj")</f>
        <v/>
      </c>
      <c r="AQ7" s="47" t="n"/>
      <c r="AR7" s="47" t="n"/>
      <c r="AS7" s="47">
        <f>TEXT(WEEKDAY(DATE(CalendarYear,6,4),1),"jjj")</f>
        <v/>
      </c>
      <c r="AT7" s="47" t="n"/>
      <c r="AU7" s="47" t="n"/>
      <c r="AV7" s="47">
        <f>TEXT(WEEKDAY(DATE(CalendarYear,6,5),1),"jjj")</f>
        <v/>
      </c>
      <c r="AW7" s="47" t="n"/>
      <c r="AX7" s="47" t="n"/>
      <c r="AY7" s="47">
        <f>TEXT(WEEKDAY(DATE(CalendarYear,6,6),1),"jjj")</f>
        <v/>
      </c>
      <c r="AZ7" s="47" t="n"/>
      <c r="BA7" s="47" t="n"/>
      <c r="BB7" s="47">
        <f>TEXT(WEEKDAY(DATE(CalendarYear,6,7),1),"jjj")</f>
        <v/>
      </c>
      <c r="BC7" s="47" t="n"/>
      <c r="BD7" s="47" t="n"/>
      <c r="BE7" s="47">
        <f>TEXT(WEEKDAY(DATE(CalendarYear,6,1),1),"jjj")</f>
        <v/>
      </c>
      <c r="BF7" s="47" t="n"/>
      <c r="BG7" s="47" t="n"/>
      <c r="BH7" s="47">
        <f>TEXT(WEEKDAY(DATE(CalendarYear,6,2),1),"jjj")</f>
        <v/>
      </c>
      <c r="BI7" s="47" t="n"/>
      <c r="BJ7" s="47" t="n"/>
      <c r="BK7" s="47">
        <f>TEXT(WEEKDAY(DATE(CalendarYear,6,3),1),"jjj")</f>
        <v/>
      </c>
      <c r="BL7" s="47" t="n"/>
      <c r="BM7" s="47" t="n"/>
      <c r="BN7" s="47">
        <f>TEXT(WEEKDAY(DATE(CalendarYear,6,4),1),"jjj")</f>
        <v/>
      </c>
      <c r="BO7" s="47" t="n"/>
      <c r="BP7" s="47" t="n"/>
      <c r="BQ7" s="47">
        <f>TEXT(WEEKDAY(DATE(CalendarYear,6,5),1),"jjj")</f>
        <v/>
      </c>
      <c r="BR7" s="47" t="n"/>
      <c r="BS7" s="47" t="n"/>
      <c r="BT7" s="47">
        <f>TEXT(WEEKDAY(DATE(CalendarYear,6,6),1),"jjj")</f>
        <v/>
      </c>
      <c r="BU7" s="47" t="n"/>
      <c r="BV7" s="47" t="n"/>
      <c r="BW7" s="47">
        <f>TEXT(WEEKDAY(DATE(CalendarYear,6,7),1),"jjj")</f>
        <v/>
      </c>
      <c r="BX7" s="47" t="n"/>
      <c r="BY7" s="47" t="n"/>
      <c r="BZ7" s="47">
        <f>TEXT(WEEKDAY(DATE(CalendarYear,6,1),1),"jjj")</f>
        <v/>
      </c>
      <c r="CA7" s="47" t="n"/>
      <c r="CB7" s="47" t="n"/>
      <c r="CC7" s="47">
        <f>TEXT(WEEKDAY(DATE(CalendarYear,6,2),1),"jjj")</f>
        <v/>
      </c>
      <c r="CD7" s="47" t="n"/>
      <c r="CE7" s="47" t="n"/>
      <c r="CF7" s="47">
        <f>TEXT(WEEKDAY(DATE(CalendarYear,6,3),1),"jjj")</f>
        <v/>
      </c>
      <c r="CG7" s="47" t="n"/>
      <c r="CH7" s="47" t="n"/>
      <c r="CI7" s="47">
        <f>TEXT(WEEKDAY(DATE(CalendarYear,6,4),1),"jjj")</f>
        <v/>
      </c>
      <c r="CJ7" s="47" t="n"/>
      <c r="CK7" s="47" t="n"/>
      <c r="CL7" s="47">
        <f>TEXT(WEEKDAY(DATE(CalendarYear,6,5),1),"jjj")</f>
        <v/>
      </c>
      <c r="CM7" s="47" t="n"/>
      <c r="CN7" s="47" t="n"/>
      <c r="CO7" s="47">
        <f>TEXT(WEEKDAY(DATE(CalendarYear,6,6),1),"jjj")</f>
        <v/>
      </c>
      <c r="CP7" s="47" t="n"/>
      <c r="CQ7" s="47" t="n"/>
      <c r="CR7" s="47">
        <f>TEXT(WEEKDAY(DATE(CalendarYear,6,7),1),"jjj")</f>
        <v/>
      </c>
      <c r="CS7" s="47" t="n"/>
      <c r="CT7" s="47" t="n"/>
      <c r="CU7" s="47">
        <f>TEXT(WEEKDAY(DATE(CalendarYear,6,1),1),"jjj")</f>
        <v/>
      </c>
      <c r="CV7" s="47" t="n"/>
      <c r="CW7" s="47" t="n"/>
      <c r="CX7" s="47">
        <f>TEXT(WEEKDAY(DATE(CalendarYear,6,2),1),"jjj")</f>
        <v/>
      </c>
      <c r="CY7" s="47" t="n"/>
      <c r="CZ7" s="47" t="n"/>
      <c r="DA7" s="47">
        <f>TEXT(WEEKDAY(DATE(CalendarYear,6,3),1),"jjj")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31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COUNTA(Juin24567891011[[#This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COUNTA(Juin24567891011[[#This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COUNTA(Juin24567891011[[#This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COUNTA(Juin24567891011[[#This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COUNTA(Juin24567891011[[#This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COUNTA(Juin24567891011[[#This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SUBTOTAL(103,Juin24567891011[Colonne343])</f>
        <v/>
      </c>
      <c r="BN17" s="59">
        <f>SUBTOTAL(103,Juin24567891011[Colonne344])</f>
        <v/>
      </c>
      <c r="BO17" s="59">
        <f>SUBTOTAL(103,Juin24567891011[Colonne345])</f>
        <v/>
      </c>
      <c r="BP17" s="59">
        <f>SUBTOTAL(103,Juin24567891011[Colonne346])</f>
        <v/>
      </c>
      <c r="BQ17" s="59">
        <f>SUBTOTAL(103,Juin24567891011[Colonne347])</f>
        <v/>
      </c>
      <c r="BR17" s="59">
        <f>SUBTOTAL(103,Juin24567891011[Colonne348])</f>
        <v/>
      </c>
      <c r="BS17" s="59">
        <f>SUBTOTAL(103,Juin24567891011[Colonne349])</f>
        <v/>
      </c>
      <c r="BT17" s="59">
        <f>SUBTOTAL(103,Juin24567891011[Colonne350])</f>
        <v/>
      </c>
      <c r="BU17" s="59">
        <f>SUBTOTAL(103,Juin24567891011[Colonne351])</f>
        <v/>
      </c>
      <c r="BV17" s="59">
        <f>SUBTOTAL(103,Juin24567891011[Colonne352])</f>
        <v/>
      </c>
      <c r="BW17" s="59">
        <f>SUBTOTAL(103,Juin24567891011[Colonne353])</f>
        <v/>
      </c>
      <c r="BX17" s="59">
        <f>SUBTOTAL(103,Juin24567891011[Colonne354])</f>
        <v/>
      </c>
      <c r="BY17" s="59">
        <f>SUBTOTAL(103,Juin24567891011[Colonne355])</f>
        <v/>
      </c>
      <c r="BZ17" s="59">
        <f>SUBTOTAL(103,Juin24567891011[Colonne356])</f>
        <v/>
      </c>
      <c r="CA17" s="59">
        <f>SUBTOTAL(103,Juin24567891011[Colonne357])</f>
        <v/>
      </c>
      <c r="CB17" s="59">
        <f>SUBTOTAL(103,Juin24567891011[Colonne358])</f>
        <v/>
      </c>
      <c r="CC17" s="59">
        <f>SUBTOTAL(103,Juin24567891011[Colonne359])</f>
        <v/>
      </c>
      <c r="CD17" s="59">
        <f>SUBTOTAL(103,Juin24567891011[Colonne360])</f>
        <v/>
      </c>
      <c r="CE17" s="59">
        <f>SUBTOTAL(103,Juin24567891011[Colonne361])</f>
        <v/>
      </c>
      <c r="CF17" s="59">
        <f>SUBTOTAL(103,Juin24567891011[Colonne362])</f>
        <v/>
      </c>
      <c r="CG17" s="59">
        <f>SUBTOTAL(103,Juin24567891011[Colonne363])</f>
        <v/>
      </c>
      <c r="CH17" s="59">
        <f>SUBTOTAL(103,Juin24567891011[Colonne364])</f>
        <v/>
      </c>
      <c r="CI17" s="59">
        <f>SUBTOTAL(103,Juin24567891011[Colonne365])</f>
        <v/>
      </c>
      <c r="CJ17" s="59">
        <f>SUBTOTAL(103,Juin24567891011[Colonne366])</f>
        <v/>
      </c>
      <c r="CK17" s="59">
        <f>SUBTOTAL(103,Juin24567891011[Colonne367])</f>
        <v/>
      </c>
      <c r="CL17" s="59">
        <f>SUBTOTAL(103,Juin24567891011[Colonne368])</f>
        <v/>
      </c>
      <c r="CM17" s="59">
        <f>SUBTOTAL(103,Juin24567891011[Colonne369])</f>
        <v/>
      </c>
      <c r="CN17" s="59">
        <f>SUBTOTAL(103,Juin24567891011[Colonne370])</f>
        <v/>
      </c>
      <c r="CO17" s="59">
        <f>SUBTOTAL(103,Juin24567891011[Colonne371])</f>
        <v/>
      </c>
      <c r="CP17" s="59">
        <f>SUBTOTAL(109,Juin24567891011[Colonne372])</f>
        <v/>
      </c>
      <c r="CQ17" s="59">
        <f>SUBTOTAL(109,Juin24567891011[Colonne373])</f>
        <v/>
      </c>
      <c r="CR17" s="59">
        <f>SUBTOTAL(109,Juin24567891011[Colonne32])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 sqref="C4" showDropDown="0" showInputMessage="1" showErrorMessage="1" allowBlank="1" prompt="La lettre « C » indique une absence pour cause de congé"/>
    <dataValidation sqref="F4" showDropDown="0" showInputMessage="1" showErrorMessage="1" allowBlank="1" prompt="La lettre « P » indique une absence pour motifs personnels"/>
    <dataValidation sqref="J4" showDropDown="0" showInputMessage="1" showErrorMessage="1" allowBlank="1" prompt="La lettre « M » indique une absence pour cause de maladie"/>
    <dataValidation sqref="N4 S4" showDropDown="0" showInputMessage="1" showErrorMessage="1" allowBlank="1" prompt="Entrez une lettre et personnalisez l’étiquette à droite pour ajouter un élément de clé"/>
    <dataValidation sqref="O4 T4" showDropDown="0" showInputMessage="1" showErrorMessage="1" allowBlank="1" prompt="Entrez une étiquette pour décrire la clé personnalisée à gauche"/>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B2" showDropDown="0" showInputMessage="1" showErrorMessage="1" allowBlank="1" prompt="Le titre mis à jour automatiquement figure dans cette cellule. Pour modifier le titre, mettez à jour la cellule B1 de la feuille de calcul Janvier"/>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C8:C9 F9 I9 L9 O7 O9 R9 U9 X9 AA9 AD9 AG9 AJ7 AJ9 AM9 AP9 AS9 AV9 AY9 BB9 BE7 BE9 BH9 BK9 BN9 BQ9 BT9 BW9 BZ7 BZ9 CC9 CF9 CI9 CL9 CO9 CU7"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B1" showDropDown="0" showInputMessage="1" showErrorMessage="1" allowBlank="1" prompt="Le titre de la feuille de calcul figure dans cette cellule. "/>
    <dataValidation sqref="AH6" showDropDown="0" showInputMessage="1" showErrorMessage="1" allowBlank="1" prompt="Année mise à jour automatiquement en fonction de l’année entrée dans la feuille de calcul Janvier"/>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11.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AH25" sqref="AH25"/>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Novembre</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TEXT(WEEKDAY(DATE(CalendarYear,6,7),1),"jjj")</f>
        <v/>
      </c>
      <c r="D7" s="47" t="n"/>
      <c r="E7" s="47" t="n"/>
      <c r="F7" s="47">
        <f>TEXT(WEEKDAY(DATE(CalendarYear,6,1),1),"jjj")</f>
        <v/>
      </c>
      <c r="G7" s="47" t="n"/>
      <c r="H7" s="47" t="n"/>
      <c r="I7" s="47">
        <f>TEXT(WEEKDAY(DATE(CalendarYear,6,2),1),"jjj")</f>
        <v/>
      </c>
      <c r="J7" s="47" t="n"/>
      <c r="K7" s="47" t="n"/>
      <c r="L7" s="47">
        <f>TEXT(WEEKDAY(DATE(CalendarYear,6,3),1),"jjj")</f>
        <v/>
      </c>
      <c r="M7" s="47" t="n"/>
      <c r="N7" s="47" t="n"/>
      <c r="O7" s="47">
        <f>TEXT(WEEKDAY(DATE(CalendarYear,6,4),1),"jjj")</f>
        <v/>
      </c>
      <c r="P7" s="47" t="n"/>
      <c r="Q7" s="47" t="n"/>
      <c r="R7" s="47">
        <f>TEXT(WEEKDAY(DATE(CalendarYear,6,5),1),"jjj")</f>
        <v/>
      </c>
      <c r="S7" s="47" t="n"/>
      <c r="T7" s="47" t="n"/>
      <c r="U7" s="47">
        <f>TEXT(WEEKDAY(DATE(CalendarYear,6,6),1),"jjj")</f>
        <v/>
      </c>
      <c r="V7" s="47" t="n"/>
      <c r="W7" s="47" t="n"/>
      <c r="X7" s="47">
        <f>TEXT(WEEKDAY(DATE(CalendarYear,6,7),1),"jjj")</f>
        <v/>
      </c>
      <c r="Y7" s="47" t="n"/>
      <c r="Z7" s="47" t="n"/>
      <c r="AA7" s="47">
        <f>TEXT(WEEKDAY(DATE(CalendarYear,6,1),1),"jjj")</f>
        <v/>
      </c>
      <c r="AB7" s="47" t="n"/>
      <c r="AC7" s="47" t="n"/>
      <c r="AD7" s="47">
        <f>TEXT(WEEKDAY(DATE(CalendarYear,6,2),1),"jjj")</f>
        <v/>
      </c>
      <c r="AE7" s="47" t="n"/>
      <c r="AF7" s="47" t="n"/>
      <c r="AG7" s="47">
        <f>TEXT(WEEKDAY(DATE(CalendarYear,6,3),1),"jjj")</f>
        <v/>
      </c>
      <c r="AH7" s="47" t="n"/>
      <c r="AI7" s="47" t="n"/>
      <c r="AJ7" s="47">
        <f>TEXT(WEEKDAY(DATE(CalendarYear,6,4),1),"jjj")</f>
        <v/>
      </c>
      <c r="AK7" s="47" t="n"/>
      <c r="AL7" s="47" t="n"/>
      <c r="AM7" s="47">
        <f>TEXT(WEEKDAY(DATE(CalendarYear,6,5),1),"jjj")</f>
        <v/>
      </c>
      <c r="AN7" s="47" t="n"/>
      <c r="AO7" s="47" t="n"/>
      <c r="AP7" s="47">
        <f>TEXT(WEEKDAY(DATE(CalendarYear,6,6),1),"jjj")</f>
        <v/>
      </c>
      <c r="AQ7" s="47" t="n"/>
      <c r="AR7" s="47" t="n"/>
      <c r="AS7" s="47">
        <f>TEXT(WEEKDAY(DATE(CalendarYear,6,7),1),"jjj")</f>
        <v/>
      </c>
      <c r="AT7" s="47" t="n"/>
      <c r="AU7" s="47" t="n"/>
      <c r="AV7" s="47">
        <f>TEXT(WEEKDAY(DATE(CalendarYear,6,1),1),"jjj")</f>
        <v/>
      </c>
      <c r="AW7" s="47" t="n"/>
      <c r="AX7" s="47" t="n"/>
      <c r="AY7" s="47">
        <f>TEXT(WEEKDAY(DATE(CalendarYear,6,2),1),"jjj")</f>
        <v/>
      </c>
      <c r="AZ7" s="47" t="n"/>
      <c r="BA7" s="47" t="n"/>
      <c r="BB7" s="47">
        <f>TEXT(WEEKDAY(DATE(CalendarYear,6,3),1),"jjj")</f>
        <v/>
      </c>
      <c r="BC7" s="47" t="n"/>
      <c r="BD7" s="47" t="n"/>
      <c r="BE7" s="47">
        <f>TEXT(WEEKDAY(DATE(CalendarYear,6,4),1),"jjj")</f>
        <v/>
      </c>
      <c r="BF7" s="47" t="n"/>
      <c r="BG7" s="47" t="n"/>
      <c r="BH7" s="47">
        <f>TEXT(WEEKDAY(DATE(CalendarYear,6,5),1),"jjj")</f>
        <v/>
      </c>
      <c r="BI7" s="47" t="n"/>
      <c r="BJ7" s="47" t="n"/>
      <c r="BK7" s="47">
        <f>TEXT(WEEKDAY(DATE(CalendarYear,6,6),1),"jjj")</f>
        <v/>
      </c>
      <c r="BL7" s="47" t="n"/>
      <c r="BM7" s="47" t="n"/>
      <c r="BN7" s="47">
        <f>TEXT(WEEKDAY(DATE(CalendarYear,6,7),1),"jjj")</f>
        <v/>
      </c>
      <c r="BO7" s="47" t="n"/>
      <c r="BP7" s="47" t="n"/>
      <c r="BQ7" s="47">
        <f>TEXT(WEEKDAY(DATE(CalendarYear,6,1),1),"jjj")</f>
        <v/>
      </c>
      <c r="BR7" s="47" t="n"/>
      <c r="BS7" s="47" t="n"/>
      <c r="BT7" s="47">
        <f>TEXT(WEEKDAY(DATE(CalendarYear,6,2),1),"jjj")</f>
        <v/>
      </c>
      <c r="BU7" s="47" t="n"/>
      <c r="BV7" s="47" t="n"/>
      <c r="BW7" s="47">
        <f>TEXT(WEEKDAY(DATE(CalendarYear,6,3),1),"jjj")</f>
        <v/>
      </c>
      <c r="BX7" s="47" t="n"/>
      <c r="BY7" s="47" t="n"/>
      <c r="BZ7" s="47">
        <f>TEXT(WEEKDAY(DATE(CalendarYear,6,4),1),"jjj")</f>
        <v/>
      </c>
      <c r="CA7" s="47" t="n"/>
      <c r="CB7" s="47" t="n"/>
      <c r="CC7" s="47">
        <f>TEXT(WEEKDAY(DATE(CalendarYear,6,5),1),"jjj")</f>
        <v/>
      </c>
      <c r="CD7" s="47" t="n"/>
      <c r="CE7" s="47" t="n"/>
      <c r="CF7" s="47">
        <f>TEXT(WEEKDAY(DATE(CalendarYear,6,6),1),"jjj")</f>
        <v/>
      </c>
      <c r="CG7" s="47" t="n"/>
      <c r="CH7" s="47" t="n"/>
      <c r="CI7" s="47">
        <f>TEXT(WEEKDAY(DATE(CalendarYear,6,7),1),"jjj")</f>
        <v/>
      </c>
      <c r="CJ7" s="47" t="n"/>
      <c r="CK7" s="47" t="n"/>
      <c r="CL7" s="47">
        <f>TEXT(WEEKDAY(DATE(CalendarYear,6,1),1),"jjj")</f>
        <v/>
      </c>
      <c r="CM7" s="47" t="n"/>
      <c r="CN7" s="47" t="n"/>
      <c r="CO7" s="47">
        <f>TEXT(WEEKDAY(DATE(CalendarYear,6,2),1),"jjj")</f>
        <v/>
      </c>
      <c r="CP7" s="47" t="n"/>
      <c r="CQ7" s="47" t="n"/>
      <c r="CR7" s="47">
        <f>TEXT(WEEKDAY(DATE(CalendarYear,6,3),1),"jjj")</f>
        <v/>
      </c>
      <c r="CS7" s="47" t="n"/>
      <c r="CT7" s="47" t="n"/>
      <c r="CU7" s="47">
        <f>TEXT(WEEKDAY(DATE(CalendarYear,6,4),1),"jjj")</f>
        <v/>
      </c>
      <c r="CV7" s="47" t="n"/>
      <c r="CW7" s="47" t="n"/>
      <c r="CX7" s="47">
        <f>TEXT(WEEKDAY(DATE(CalendarYear,6,5),1),"jjj")</f>
        <v/>
      </c>
      <c r="CY7" s="47" t="n"/>
      <c r="CZ7" s="47" t="n"/>
      <c r="DA7" s="47">
        <f>TEXT(WEEKDAY(DATE(CalendarYear,6,6),1),"jjj")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COUNTA(Juin2456789101112[[#This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COUNTA(Juin2456789101112[[#This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COUNTA(Juin2456789101112[[#This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COUNTA(Juin2456789101112[[#This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COUNTA(Juin2456789101112[[#This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COUNTA(Juin2456789101112[[#This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SUBTOTAL(103,Juin2456789101112[Colonne343])</f>
        <v/>
      </c>
      <c r="BN17" s="59">
        <f>SUBTOTAL(103,Juin2456789101112[Colonne344])</f>
        <v/>
      </c>
      <c r="BO17" s="59">
        <f>SUBTOTAL(103,Juin2456789101112[Colonne345])</f>
        <v/>
      </c>
      <c r="BP17" s="59">
        <f>SUBTOTAL(103,Juin2456789101112[Colonne346])</f>
        <v/>
      </c>
      <c r="BQ17" s="59">
        <f>SUBTOTAL(103,Juin2456789101112[Colonne347])</f>
        <v/>
      </c>
      <c r="BR17" s="59">
        <f>SUBTOTAL(103,Juin2456789101112[Colonne348])</f>
        <v/>
      </c>
      <c r="BS17" s="59">
        <f>SUBTOTAL(103,Juin2456789101112[Colonne349])</f>
        <v/>
      </c>
      <c r="BT17" s="59">
        <f>SUBTOTAL(103,Juin2456789101112[Colonne350])</f>
        <v/>
      </c>
      <c r="BU17" s="59">
        <f>SUBTOTAL(103,Juin2456789101112[Colonne351])</f>
        <v/>
      </c>
      <c r="BV17" s="59">
        <f>SUBTOTAL(103,Juin2456789101112[Colonne352])</f>
        <v/>
      </c>
      <c r="BW17" s="59">
        <f>SUBTOTAL(103,Juin2456789101112[Colonne353])</f>
        <v/>
      </c>
      <c r="BX17" s="59">
        <f>SUBTOTAL(103,Juin2456789101112[Colonne354])</f>
        <v/>
      </c>
      <c r="BY17" s="59">
        <f>SUBTOTAL(103,Juin2456789101112[Colonne355])</f>
        <v/>
      </c>
      <c r="BZ17" s="59">
        <f>SUBTOTAL(103,Juin2456789101112[Colonne356])</f>
        <v/>
      </c>
      <c r="CA17" s="59">
        <f>SUBTOTAL(103,Juin2456789101112[Colonne357])</f>
        <v/>
      </c>
      <c r="CB17" s="59">
        <f>SUBTOTAL(103,Juin2456789101112[Colonne358])</f>
        <v/>
      </c>
      <c r="CC17" s="59">
        <f>SUBTOTAL(103,Juin2456789101112[Colonne359])</f>
        <v/>
      </c>
      <c r="CD17" s="59">
        <f>SUBTOTAL(103,Juin2456789101112[Colonne360])</f>
        <v/>
      </c>
      <c r="CE17" s="59">
        <f>SUBTOTAL(103,Juin2456789101112[Colonne361])</f>
        <v/>
      </c>
      <c r="CF17" s="59">
        <f>SUBTOTAL(103,Juin2456789101112[Colonne362])</f>
        <v/>
      </c>
      <c r="CG17" s="59">
        <f>SUBTOTAL(103,Juin2456789101112[Colonne363])</f>
        <v/>
      </c>
      <c r="CH17" s="59">
        <f>SUBTOTAL(103,Juin2456789101112[Colonne364])</f>
        <v/>
      </c>
      <c r="CI17" s="59">
        <f>SUBTOTAL(103,Juin2456789101112[Colonne365])</f>
        <v/>
      </c>
      <c r="CJ17" s="59">
        <f>SUBTOTAL(103,Juin2456789101112[Colonne366])</f>
        <v/>
      </c>
      <c r="CK17" s="59">
        <f>SUBTOTAL(103,Juin2456789101112[Colonne367])</f>
        <v/>
      </c>
      <c r="CL17" s="59">
        <f>SUBTOTAL(103,Juin2456789101112[Colonne368])</f>
        <v/>
      </c>
      <c r="CM17" s="59">
        <f>SUBTOTAL(103,Juin2456789101112[Colonne369])</f>
        <v/>
      </c>
      <c r="CN17" s="59">
        <f>SUBTOTAL(103,Juin2456789101112[Colonne370])</f>
        <v/>
      </c>
      <c r="CO17" s="59">
        <f>SUBTOTAL(103,Juin2456789101112[Colonne371])</f>
        <v/>
      </c>
      <c r="CP17" s="59">
        <f>SUBTOTAL(109,Juin2456789101112[Colonne372])</f>
        <v/>
      </c>
      <c r="CQ17" s="59">
        <f>SUBTOTAL(109,Juin2456789101112[Colonne373])</f>
        <v/>
      </c>
      <c r="CR17" s="59">
        <f>SUBTOTAL(109,Juin2456789101112[Colonne32])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AH6" showDropDown="0" showInputMessage="1" showErrorMessage="1" allowBlank="1" prompt="Année mise à jour automatiquement en fonction de l’année entrée dans la feuille de calcul Janvier"/>
    <dataValidation sqref="B1" showDropDown="0" showInputMessage="1" showErrorMessage="1" allowBlank="1" prompt="Le titre de la feuille de calcul figure dans cette cellule. "/>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C8:C9 F7 F9 I9 L9 O9 R9 U9 X9 AA7 AA9 AD9 AG9 AJ9 AM9 AP9 AS9 AV7 AV9 AY9 BB9 BE9 BH9 BK9 BN9 BQ7 BQ9 BT9 BW9 BZ9 CC9 CF9 CI9 CL7 CL9 CO9"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B2" showDropDown="0" showInputMessage="1" showErrorMessage="1" allowBlank="1" prompt="Le titre mis à jour automatiquement figure dans cette cellule. Pour modifier le titre, mettez à jour la cellule B1 de la feuille de calcul Janvier"/>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O4 T4" showDropDown="0" showInputMessage="1" showErrorMessage="1" allowBlank="1" prompt="Entrez une étiquette pour décrire la clé personnalisée à gauche"/>
    <dataValidation sqref="N4 S4" showDropDown="0" showInputMessage="1" showErrorMessage="1" allowBlank="1" prompt="Entrez une lettre et personnalisez l’étiquette à droite pour ajouter un élément de clé"/>
    <dataValidation sqref="J4" showDropDown="0" showInputMessage="1" showErrorMessage="1" allowBlank="1" prompt="La lettre « M » indique une absence pour cause de maladie"/>
    <dataValidation sqref="F4" showDropDown="0" showInputMessage="1" showErrorMessage="1" allowBlank="1" prompt="La lettre « P » indique une absence pour motifs personnels"/>
    <dataValidation sqref="C4" showDropDown="0" showInputMessage="1" showErrorMessage="1" allowBlank="1" prompt="La lettre « C » indique une absence pour cause de congé"/>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12.xml><?xml version="1.0" encoding="utf-8"?>
<worksheet xmlns="http://schemas.openxmlformats.org/spreadsheetml/2006/main">
  <sheetPr>
    <tabColor theme="6" tint="0.3999755851924192"/>
    <outlinePr summaryBelow="1" summaryRight="1"/>
    <pageSetUpPr/>
  </sheetPr>
  <dimension ref="A1:DX19"/>
  <sheetViews>
    <sheetView showGridLines="0" zoomScale="85" zoomScaleNormal="85" workbookViewId="0">
      <selection activeCell="AE22" sqref="AE22"/>
    </sheetView>
  </sheetViews>
  <sheetFormatPr baseColWidth="10" defaultColWidth="8.7109375" defaultRowHeight="30" customHeight="1"/>
  <cols>
    <col width="2.7109375" customWidth="1" style="55" min="1" max="1"/>
    <col width="19.7109375" customWidth="1" style="55" min="2" max="2"/>
    <col width="3.7109375" customWidth="1" style="55" min="3" max="129"/>
  </cols>
  <sheetData>
    <row r="1" ht="50.1" customFormat="1" customHeight="1" s="14">
      <c r="A1" s="13" t="n"/>
      <c r="B1" s="17" t="inlineStr">
        <is>
          <t>Kikelaoupala</t>
        </is>
      </c>
      <c r="C1" s="0" t="n"/>
      <c r="D1" s="0" t="n"/>
      <c r="E1" s="0" t="n"/>
      <c r="F1" s="0" t="n"/>
      <c r="G1" s="0" t="n"/>
      <c r="H1" s="0" t="n"/>
      <c r="I1" s="0" t="n"/>
      <c r="J1" s="0" t="n"/>
      <c r="K1" s="0" t="n"/>
      <c r="L1" s="0" t="n"/>
      <c r="M1" s="0" t="n"/>
      <c r="N1" s="0" t="n"/>
      <c r="O1" s="0" t="n"/>
      <c r="P1" s="0" t="n"/>
      <c r="Q1" s="0" t="n"/>
      <c r="R1" s="0" t="n"/>
      <c r="S1" s="0" t="n"/>
      <c r="T1" s="0" t="n"/>
      <c r="U1" s="0" t="n"/>
      <c r="V1" s="0" t="n"/>
      <c r="W1" s="0" t="n"/>
      <c r="X1" s="0" t="n"/>
      <c r="Y1" s="0" t="n"/>
      <c r="Z1" s="0" t="n"/>
      <c r="AA1" s="0" t="n"/>
      <c r="AB1" s="0" t="n"/>
      <c r="AC1" s="0" t="n"/>
      <c r="AD1" s="0" t="n"/>
      <c r="AE1" s="0" t="n"/>
      <c r="AF1" s="0" t="n"/>
      <c r="AG1" s="0" t="n"/>
      <c r="AH1" s="0" t="n"/>
      <c r="AI1" s="0" t="n"/>
      <c r="AJ1" s="0" t="n"/>
      <c r="AK1" s="0" t="n"/>
      <c r="AL1" s="0" t="n"/>
      <c r="AM1" s="0" t="n"/>
      <c r="AN1" s="0" t="n"/>
      <c r="AO1" s="0" t="n"/>
      <c r="AP1" s="0" t="n"/>
      <c r="AQ1" s="0" t="n"/>
      <c r="AR1" s="0" t="n"/>
      <c r="AS1" s="0" t="n"/>
      <c r="AT1" s="0" t="n"/>
      <c r="AU1" s="0" t="n"/>
      <c r="AV1" s="0" t="n"/>
      <c r="AW1" s="0" t="n"/>
      <c r="AX1" s="0" t="n"/>
      <c r="AY1" s="0" t="n"/>
      <c r="AZ1" s="0" t="n"/>
      <c r="BA1" s="0" t="n"/>
      <c r="BB1" s="0" t="n"/>
      <c r="BC1" s="0" t="n"/>
      <c r="BD1" s="0" t="n"/>
      <c r="BE1" s="0" t="n"/>
      <c r="BF1" s="0" t="n"/>
      <c r="BG1" s="0" t="n"/>
      <c r="BH1" s="0" t="n"/>
      <c r="BI1" s="0" t="n"/>
      <c r="BJ1" s="0" t="n"/>
      <c r="BK1" s="0" t="n"/>
      <c r="BL1" s="0" t="n"/>
      <c r="BM1" s="0" t="n"/>
      <c r="BN1" s="0" t="n"/>
      <c r="BO1" s="0" t="n"/>
      <c r="BP1" s="0" t="n"/>
      <c r="BQ1" s="0" t="n"/>
      <c r="BR1" s="0" t="n"/>
      <c r="BS1" s="0" t="n"/>
      <c r="BT1" s="0" t="n"/>
      <c r="BU1" s="0" t="n"/>
      <c r="BV1" s="0" t="n"/>
      <c r="BW1" s="0" t="n"/>
      <c r="BX1" s="0" t="n"/>
      <c r="BY1" s="0" t="n"/>
      <c r="BZ1" s="0" t="n"/>
      <c r="CA1" s="0" t="n"/>
      <c r="CB1" s="0" t="n"/>
      <c r="CC1" s="0" t="n"/>
      <c r="CD1" s="0" t="n"/>
      <c r="CE1" s="0" t="n"/>
      <c r="CF1" s="0" t="n"/>
      <c r="CG1" s="0" t="n"/>
      <c r="CH1" s="0" t="n"/>
      <c r="CI1" s="0" t="n"/>
      <c r="CJ1" s="0" t="n"/>
      <c r="CK1" s="0" t="n"/>
      <c r="CL1" s="0" t="n"/>
      <c r="CM1" s="0" t="n"/>
      <c r="CN1" s="0" t="n"/>
      <c r="CO1" s="0" t="n"/>
      <c r="CP1" s="0" t="n"/>
      <c r="CQ1" s="0" t="n"/>
      <c r="CR1" s="0" t="n"/>
      <c r="CS1" s="0" t="n"/>
      <c r="CT1" s="0" t="n"/>
    </row>
    <row r="2" ht="100.35" customFormat="1" customHeight="1" s="14">
      <c r="A2" s="0" t="n"/>
      <c r="B2" s="48" t="inlineStr">
        <is>
          <t>Decembre</t>
        </is>
      </c>
      <c r="C2" s="0" t="n"/>
      <c r="D2" s="0" t="n"/>
      <c r="E2" s="0" t="n"/>
      <c r="F2" s="0" t="n"/>
      <c r="G2" s="0" t="n"/>
      <c r="H2" s="0" t="n"/>
      <c r="I2" s="0" t="n"/>
      <c r="J2" s="0" t="n"/>
      <c r="K2" s="0" t="n"/>
      <c r="L2" s="0" t="n"/>
      <c r="M2" s="0" t="n"/>
      <c r="N2" s="0" t="n"/>
      <c r="O2" s="0" t="n"/>
      <c r="P2" s="0" t="n"/>
      <c r="Q2" s="0" t="n"/>
      <c r="R2" s="0" t="n"/>
      <c r="S2" s="0" t="n"/>
      <c r="T2" s="0" t="n"/>
      <c r="U2" s="0" t="n"/>
      <c r="V2" s="0" t="n"/>
      <c r="W2" s="0" t="n"/>
      <c r="X2" s="0" t="n"/>
      <c r="Y2" s="0" t="n"/>
      <c r="Z2" s="0" t="n"/>
      <c r="AA2" s="0" t="n"/>
      <c r="AB2" s="0" t="n"/>
      <c r="AC2" s="0" t="n"/>
      <c r="AD2" s="0" t="n"/>
      <c r="AE2" s="0" t="n"/>
      <c r="AF2" s="0" t="n"/>
      <c r="AG2" s="0" t="n"/>
      <c r="AH2" s="0" t="n"/>
      <c r="AI2" s="0" t="n"/>
      <c r="AJ2" s="0" t="n"/>
      <c r="AK2" s="0" t="n"/>
      <c r="AL2" s="0" t="n"/>
      <c r="AM2" s="0" t="n"/>
      <c r="AN2" s="0" t="n"/>
      <c r="AO2" s="0" t="n"/>
      <c r="AP2" s="0" t="n"/>
      <c r="AQ2" s="0" t="n"/>
      <c r="AR2" s="0" t="n"/>
      <c r="AS2" s="0" t="n"/>
      <c r="AT2" s="0" t="n"/>
      <c r="AU2" s="0" t="n"/>
      <c r="AV2" s="0" t="n"/>
      <c r="AW2" s="0" t="n"/>
      <c r="AX2" s="0" t="n"/>
      <c r="AY2" s="0" t="n"/>
      <c r="AZ2" s="0" t="n"/>
      <c r="BA2" s="0" t="n"/>
      <c r="BB2" s="0" t="n"/>
      <c r="BC2" s="0" t="n"/>
      <c r="BD2" s="0" t="n"/>
      <c r="BE2" s="0" t="n"/>
      <c r="BF2" s="0" t="n"/>
      <c r="BG2" s="0" t="n"/>
      <c r="BH2" s="0" t="n"/>
      <c r="BI2" s="0" t="n"/>
      <c r="BJ2" s="0" t="n"/>
      <c r="BK2" s="0" t="n"/>
      <c r="BL2" s="0" t="n"/>
      <c r="BM2" s="0" t="n"/>
      <c r="BN2" s="0" t="n"/>
      <c r="BO2" s="0" t="n"/>
      <c r="BP2" s="0" t="n"/>
      <c r="BQ2" s="0" t="n"/>
      <c r="BR2" s="0" t="n"/>
      <c r="BS2" s="0" t="n"/>
      <c r="BT2" s="0" t="n"/>
      <c r="BU2" s="0" t="n"/>
      <c r="BV2" s="0" t="n"/>
      <c r="BW2" s="0" t="n"/>
      <c r="BX2" s="0" t="n"/>
      <c r="BY2" s="0" t="n"/>
      <c r="BZ2" s="0" t="n"/>
      <c r="CA2" s="0" t="n"/>
      <c r="CB2" s="0" t="n"/>
      <c r="CC2" s="0" t="n"/>
      <c r="CD2" s="0" t="n"/>
      <c r="CE2" s="0" t="n"/>
      <c r="CF2" s="0" t="n"/>
      <c r="CG2" s="0" t="n"/>
      <c r="CH2" s="0" t="n"/>
      <c r="CI2" s="0" t="n"/>
      <c r="CJ2" s="0" t="n"/>
      <c r="CK2" s="0" t="n"/>
      <c r="CL2" s="0" t="n"/>
      <c r="CM2" s="0" t="n"/>
      <c r="CN2" s="0" t="n"/>
      <c r="CO2" s="0" t="n"/>
      <c r="CP2" s="0" t="n"/>
      <c r="CQ2" s="0" t="n"/>
      <c r="CR2" s="0" t="n"/>
      <c r="CS2" s="0" t="n"/>
      <c r="CT2" s="0" t="n"/>
    </row>
    <row r="3" ht="15" customFormat="1" customHeight="1" s="14" thickBot="1">
      <c r="A3" s="0" t="n"/>
      <c r="B3" s="10"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c r="BH3" s="0" t="n"/>
      <c r="BI3" s="0" t="n"/>
      <c r="BJ3" s="0" t="n"/>
      <c r="BK3" s="0" t="n"/>
      <c r="BL3" s="0" t="n"/>
      <c r="BM3" s="0" t="n"/>
      <c r="BN3" s="0" t="n"/>
      <c r="BO3" s="0" t="n"/>
      <c r="BP3" s="0" t="n"/>
      <c r="BQ3" s="0" t="n"/>
      <c r="BR3" s="0" t="n"/>
      <c r="BS3" s="0" t="n"/>
      <c r="BT3" s="0" t="n"/>
      <c r="BU3" s="0" t="n"/>
      <c r="BV3" s="0" t="n"/>
      <c r="BW3" s="0" t="n"/>
      <c r="BX3" s="0" t="n"/>
      <c r="BY3" s="0" t="n"/>
      <c r="BZ3" s="0" t="n"/>
      <c r="CA3" s="0" t="n"/>
      <c r="CB3" s="0" t="n"/>
      <c r="CC3" s="0" t="n"/>
      <c r="CD3" s="0" t="n"/>
      <c r="CE3" s="0" t="n"/>
      <c r="CF3" s="0" t="n"/>
      <c r="CG3" s="0" t="n"/>
      <c r="CH3" s="0" t="n"/>
      <c r="CI3" s="0" t="n"/>
      <c r="CJ3" s="0" t="n"/>
      <c r="CK3" s="0" t="n"/>
      <c r="CL3" s="0" t="n"/>
      <c r="CM3" s="0" t="n"/>
      <c r="CN3" s="0" t="n"/>
      <c r="CO3" s="0" t="n"/>
      <c r="CP3" s="0" t="n"/>
      <c r="CQ3" s="0" t="n"/>
      <c r="CR3" s="0" t="n"/>
      <c r="CS3" s="0" t="n"/>
      <c r="CT3" s="0" t="n"/>
    </row>
    <row r="4" ht="60.75" customHeight="1" s="55" thickBot="1">
      <c r="B4" s="8" t="inlineStr">
        <is>
          <t>les codes</t>
        </is>
      </c>
      <c r="C4" s="21" t="inlineStr">
        <is>
          <t>D</t>
        </is>
      </c>
      <c r="D4" s="39" t="inlineStr">
        <is>
          <t>DISPO</t>
        </is>
      </c>
      <c r="F4" s="20" t="inlineStr">
        <is>
          <t>X</t>
        </is>
      </c>
      <c r="G4" s="39" t="inlineStr">
        <is>
          <t>PAS DISPO</t>
        </is>
      </c>
      <c r="J4" s="18" t="inlineStr">
        <is>
          <t>A</t>
        </is>
      </c>
      <c r="K4" s="40" t="inlineStr">
        <is>
          <t>PAS SUR</t>
        </is>
      </c>
      <c r="M4" s="19" t="n"/>
      <c r="N4" s="56" t="n"/>
      <c r="O4" s="40" t="n"/>
      <c r="S4" s="32" t="inlineStr">
        <is>
          <t>R</t>
        </is>
      </c>
      <c r="T4" s="40" t="inlineStr">
        <is>
          <t>Repetition</t>
        </is>
      </c>
      <c r="X4" s="31" t="inlineStr">
        <is>
          <t>C</t>
        </is>
      </c>
      <c r="Y4" s="41" t="inlineStr">
        <is>
          <t>concert</t>
        </is>
      </c>
      <c r="AC4" s="35" t="n"/>
      <c r="AD4" s="43" t="n"/>
    </row>
    <row r="5" ht="15" customHeight="1" s="55">
      <c r="B5" s="15"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c r="AF5" s="9" t="n"/>
      <c r="AG5" s="9" t="n"/>
      <c r="AH5" s="9" t="n"/>
    </row>
    <row r="6" ht="50.1" customHeight="1" s="55">
      <c r="B6" s="54" t="n"/>
      <c r="C6" s="38" t="inlineStr">
        <is>
          <t>Dates d’absence</t>
        </is>
      </c>
      <c r="AH6" s="54">
        <f>CalendarYear</f>
        <v/>
      </c>
    </row>
    <row r="7" ht="30" customHeight="1" s="55">
      <c r="B7" s="54" t="n"/>
      <c r="C7" s="47">
        <f>TEXT(WEEKDAY(DATE(CalendarYear,6,2),1),"jjj")</f>
        <v/>
      </c>
      <c r="D7" s="47" t="n"/>
      <c r="E7" s="47" t="n"/>
      <c r="F7" s="47">
        <f>TEXT(WEEKDAY(DATE(CalendarYear,6,3),1),"jjj")</f>
        <v/>
      </c>
      <c r="G7" s="47" t="n"/>
      <c r="H7" s="47" t="n"/>
      <c r="I7" s="47">
        <f>TEXT(WEEKDAY(DATE(CalendarYear,6,4),1),"jjj")</f>
        <v/>
      </c>
      <c r="J7" s="47" t="n"/>
      <c r="K7" s="47" t="n"/>
      <c r="L7" s="47">
        <f>TEXT(WEEKDAY(DATE(CalendarYear,6,5),1),"jjj")</f>
        <v/>
      </c>
      <c r="M7" s="47" t="n"/>
      <c r="N7" s="47" t="n"/>
      <c r="O7" s="47">
        <f>TEXT(WEEKDAY(DATE(CalendarYear,6,6),1),"jjj")</f>
        <v/>
      </c>
      <c r="P7" s="47" t="n"/>
      <c r="Q7" s="47" t="n"/>
      <c r="R7" s="47">
        <f>TEXT(WEEKDAY(DATE(CalendarYear,6,7),1),"jjj")</f>
        <v/>
      </c>
      <c r="S7" s="47" t="n"/>
      <c r="T7" s="47" t="n"/>
      <c r="U7" s="47">
        <f>TEXT(WEEKDAY(DATE(CalendarYear,6,1),1),"jjj")</f>
        <v/>
      </c>
      <c r="V7" s="47" t="n"/>
      <c r="W7" s="47" t="n"/>
      <c r="X7" s="47">
        <f>TEXT(WEEKDAY(DATE(CalendarYear,6,2),1),"jjj")</f>
        <v/>
      </c>
      <c r="Y7" s="47" t="n"/>
      <c r="Z7" s="47" t="n"/>
      <c r="AA7" s="47">
        <f>TEXT(WEEKDAY(DATE(CalendarYear,6,3),1),"jjj")</f>
        <v/>
      </c>
      <c r="AB7" s="47" t="n"/>
      <c r="AC7" s="47" t="n"/>
      <c r="AD7" s="47">
        <f>TEXT(WEEKDAY(DATE(CalendarYear,6,4),1),"jjj")</f>
        <v/>
      </c>
      <c r="AE7" s="47" t="n"/>
      <c r="AF7" s="47" t="n"/>
      <c r="AG7" s="47">
        <f>TEXT(WEEKDAY(DATE(CalendarYear,6,5),1),"jjj")</f>
        <v/>
      </c>
      <c r="AH7" s="47" t="n"/>
      <c r="AI7" s="47" t="n"/>
      <c r="AJ7" s="47">
        <f>TEXT(WEEKDAY(DATE(CalendarYear,6,6),1),"jjj")</f>
        <v/>
      </c>
      <c r="AK7" s="47" t="n"/>
      <c r="AL7" s="47" t="n"/>
      <c r="AM7" s="47">
        <f>TEXT(WEEKDAY(DATE(CalendarYear,6,7),1),"jjj")</f>
        <v/>
      </c>
      <c r="AN7" s="47" t="n"/>
      <c r="AO7" s="47" t="n"/>
      <c r="AP7" s="47">
        <f>TEXT(WEEKDAY(DATE(CalendarYear,6,1),1),"jjj")</f>
        <v/>
      </c>
      <c r="AQ7" s="47" t="n"/>
      <c r="AR7" s="47" t="n"/>
      <c r="AS7" s="47">
        <f>TEXT(WEEKDAY(DATE(CalendarYear,6,2),1),"jjj")</f>
        <v/>
      </c>
      <c r="AT7" s="47" t="n"/>
      <c r="AU7" s="47" t="n"/>
      <c r="AV7" s="47">
        <f>TEXT(WEEKDAY(DATE(CalendarYear,6,3),1),"jjj")</f>
        <v/>
      </c>
      <c r="AW7" s="47" t="n"/>
      <c r="AX7" s="47" t="n"/>
      <c r="AY7" s="47">
        <f>TEXT(WEEKDAY(DATE(CalendarYear,6,4),1),"jjj")</f>
        <v/>
      </c>
      <c r="AZ7" s="47" t="n"/>
      <c r="BA7" s="47" t="n"/>
      <c r="BB7" s="47">
        <f>TEXT(WEEKDAY(DATE(CalendarYear,6,5),1),"jjj")</f>
        <v/>
      </c>
      <c r="BC7" s="47" t="n"/>
      <c r="BD7" s="47" t="n"/>
      <c r="BE7" s="47">
        <f>TEXT(WEEKDAY(DATE(CalendarYear,6,6),1),"jjj")</f>
        <v/>
      </c>
      <c r="BF7" s="47" t="n"/>
      <c r="BG7" s="47" t="n"/>
      <c r="BH7" s="47">
        <f>TEXT(WEEKDAY(DATE(CalendarYear,6,7),1),"jjj")</f>
        <v/>
      </c>
      <c r="BI7" s="47" t="n"/>
      <c r="BJ7" s="47" t="n"/>
      <c r="BK7" s="47">
        <f>TEXT(WEEKDAY(DATE(CalendarYear,6,1),1),"jjj")</f>
        <v/>
      </c>
      <c r="BL7" s="47" t="n"/>
      <c r="BM7" s="47" t="n"/>
      <c r="BN7" s="47">
        <f>TEXT(WEEKDAY(DATE(CalendarYear,6,2),1),"jjj")</f>
        <v/>
      </c>
      <c r="BO7" s="47" t="n"/>
      <c r="BP7" s="47" t="n"/>
      <c r="BQ7" s="47">
        <f>TEXT(WEEKDAY(DATE(CalendarYear,6,3),1),"jjj")</f>
        <v/>
      </c>
      <c r="BR7" s="47" t="n"/>
      <c r="BS7" s="47" t="n"/>
      <c r="BT7" s="47">
        <f>TEXT(WEEKDAY(DATE(CalendarYear,6,4),1),"jjj")</f>
        <v/>
      </c>
      <c r="BU7" s="47" t="n"/>
      <c r="BV7" s="47" t="n"/>
      <c r="BW7" s="47">
        <f>TEXT(WEEKDAY(DATE(CalendarYear,6,5),1),"jjj")</f>
        <v/>
      </c>
      <c r="BX7" s="47" t="n"/>
      <c r="BY7" s="47" t="n"/>
      <c r="BZ7" s="47">
        <f>TEXT(WEEKDAY(DATE(CalendarYear,6,6),1),"jjj")</f>
        <v/>
      </c>
      <c r="CA7" s="47" t="n"/>
      <c r="CB7" s="47" t="n"/>
      <c r="CC7" s="47">
        <f>TEXT(WEEKDAY(DATE(CalendarYear,6,7),1),"jjj")</f>
        <v/>
      </c>
      <c r="CD7" s="47" t="n"/>
      <c r="CE7" s="47" t="n"/>
      <c r="CF7" s="47">
        <f>TEXT(WEEKDAY(DATE(CalendarYear,6,1),1),"jjj")</f>
        <v/>
      </c>
      <c r="CG7" s="47" t="n"/>
      <c r="CH7" s="47" t="n"/>
      <c r="CI7" s="47">
        <f>TEXT(WEEKDAY(DATE(CalendarYear,6,2),1),"jjj")</f>
        <v/>
      </c>
      <c r="CJ7" s="47" t="n"/>
      <c r="CK7" s="47" t="n"/>
      <c r="CL7" s="47">
        <f>TEXT(WEEKDAY(DATE(CalendarYear,6,3),1),"jjj")</f>
        <v/>
      </c>
      <c r="CM7" s="47" t="n"/>
      <c r="CN7" s="47" t="n"/>
      <c r="CO7" s="47">
        <f>TEXT(WEEKDAY(DATE(CalendarYear,6,4),1),"jjj")</f>
        <v/>
      </c>
      <c r="CP7" s="47" t="n"/>
      <c r="CQ7" s="47" t="n"/>
      <c r="CR7" s="47">
        <f>TEXT(WEEKDAY(DATE(CalendarYear,6,5),1),"jjj")</f>
        <v/>
      </c>
      <c r="CS7" s="47" t="n"/>
      <c r="CT7" s="47" t="n"/>
      <c r="CU7" s="47">
        <f>TEXT(WEEKDAY(DATE(CalendarYear,6,6),1),"jjj")</f>
        <v/>
      </c>
      <c r="CV7" s="47" t="n"/>
      <c r="CW7" s="47" t="n"/>
      <c r="CX7" s="47">
        <f>TEXT(WEEKDAY(DATE(CalendarYear,6,7),1),"jjj")</f>
        <v/>
      </c>
      <c r="CY7" s="47" t="n"/>
      <c r="CZ7" s="47" t="n"/>
      <c r="DA7" s="47">
        <f>TEXT(WEEKDAY(DATE(CalendarYear,6,1),1),"jjj")</f>
        <v/>
      </c>
      <c r="DB7" s="47" t="n"/>
      <c r="DC7" s="47" t="n"/>
      <c r="DM7" s="47" t="n"/>
      <c r="DP7" s="47" t="n"/>
      <c r="DS7" s="47" t="n"/>
      <c r="DV7" s="47" t="n"/>
    </row>
    <row r="8" ht="30" customHeight="1" s="55">
      <c r="B8" s="54" t="n"/>
      <c r="C8" s="57" t="inlineStr">
        <is>
          <t>1</t>
        </is>
      </c>
      <c r="E8" s="58" t="n"/>
      <c r="F8" s="57" t="inlineStr">
        <is>
          <t>2</t>
        </is>
      </c>
      <c r="H8" s="58" t="n"/>
      <c r="I8" s="57" t="inlineStr">
        <is>
          <t>3</t>
        </is>
      </c>
      <c r="K8" s="58" t="n"/>
      <c r="L8" s="57" t="inlineStr">
        <is>
          <t>4</t>
        </is>
      </c>
      <c r="N8" s="58" t="n"/>
      <c r="O8" s="57" t="inlineStr">
        <is>
          <t>5</t>
        </is>
      </c>
      <c r="Q8" s="58" t="n"/>
      <c r="R8" s="57" t="inlineStr">
        <is>
          <t>6</t>
        </is>
      </c>
      <c r="T8" s="58" t="n"/>
      <c r="U8" s="57" t="inlineStr">
        <is>
          <t>7</t>
        </is>
      </c>
      <c r="W8" s="58" t="n"/>
      <c r="X8" s="57" t="inlineStr">
        <is>
          <t>8</t>
        </is>
      </c>
      <c r="Z8" s="58" t="n"/>
      <c r="AA8" s="57" t="inlineStr">
        <is>
          <t>9</t>
        </is>
      </c>
      <c r="AC8" s="58" t="n"/>
      <c r="AD8" s="57" t="inlineStr">
        <is>
          <t>10</t>
        </is>
      </c>
      <c r="AF8" s="58" t="n"/>
      <c r="AG8" s="57" t="inlineStr">
        <is>
          <t>11</t>
        </is>
      </c>
      <c r="AI8" s="58" t="n"/>
      <c r="AJ8" s="57" t="inlineStr">
        <is>
          <t>12</t>
        </is>
      </c>
      <c r="AL8" s="58" t="n"/>
      <c r="AM8" s="57" t="inlineStr">
        <is>
          <t>13</t>
        </is>
      </c>
      <c r="AO8" s="58" t="n"/>
      <c r="AP8" s="57" t="inlineStr">
        <is>
          <t>14</t>
        </is>
      </c>
      <c r="AR8" s="58" t="n"/>
      <c r="AS8" s="57" t="inlineStr">
        <is>
          <t>15</t>
        </is>
      </c>
      <c r="AU8" s="58" t="n"/>
      <c r="AV8" s="57" t="inlineStr">
        <is>
          <t>16</t>
        </is>
      </c>
      <c r="AX8" s="58" t="n"/>
      <c r="AY8" s="57" t="inlineStr">
        <is>
          <t>17</t>
        </is>
      </c>
      <c r="BA8" s="58" t="n"/>
      <c r="BB8" s="57" t="inlineStr">
        <is>
          <t>18</t>
        </is>
      </c>
      <c r="BD8" s="58" t="n"/>
      <c r="BE8" s="57" t="inlineStr">
        <is>
          <t>19</t>
        </is>
      </c>
      <c r="BG8" s="58" t="n"/>
      <c r="BH8" s="57" t="inlineStr">
        <is>
          <t>20</t>
        </is>
      </c>
      <c r="BJ8" s="58" t="n"/>
      <c r="BK8" s="57" t="inlineStr">
        <is>
          <t>21</t>
        </is>
      </c>
      <c r="BM8" s="58" t="n"/>
      <c r="BN8" s="57" t="inlineStr">
        <is>
          <t>22</t>
        </is>
      </c>
      <c r="BP8" s="58" t="n"/>
      <c r="BQ8" s="57" t="inlineStr">
        <is>
          <t>23</t>
        </is>
      </c>
      <c r="BS8" s="58" t="n"/>
      <c r="BT8" s="57" t="inlineStr">
        <is>
          <t>24</t>
        </is>
      </c>
      <c r="BV8" s="58" t="n"/>
      <c r="BW8" s="57" t="inlineStr">
        <is>
          <t>25</t>
        </is>
      </c>
      <c r="BY8" s="58" t="n"/>
      <c r="BZ8" s="57" t="inlineStr">
        <is>
          <t>26</t>
        </is>
      </c>
      <c r="CB8" s="58" t="n"/>
      <c r="CC8" s="57" t="inlineStr">
        <is>
          <t>27</t>
        </is>
      </c>
      <c r="CE8" s="58" t="n"/>
      <c r="CF8" s="57" t="inlineStr">
        <is>
          <t>28</t>
        </is>
      </c>
      <c r="CH8" s="58" t="n"/>
      <c r="CI8" s="57" t="inlineStr">
        <is>
          <t>29</t>
        </is>
      </c>
      <c r="CK8" s="58" t="n"/>
      <c r="CL8" s="57" t="inlineStr">
        <is>
          <t>30</t>
        </is>
      </c>
      <c r="CN8" s="58" t="n"/>
      <c r="CO8" s="57" t="n">
        <v>1</v>
      </c>
      <c r="CQ8" s="58" t="n"/>
    </row>
    <row r="9" ht="30" customHeight="1" s="55">
      <c r="B9" s="54" t="n"/>
      <c r="C9" s="49" t="inlineStr">
        <is>
          <t>M</t>
        </is>
      </c>
      <c r="D9" s="50" t="inlineStr">
        <is>
          <t>AM</t>
        </is>
      </c>
      <c r="E9" s="51" t="inlineStr">
        <is>
          <t>S</t>
        </is>
      </c>
      <c r="F9" s="49" t="inlineStr">
        <is>
          <t>M</t>
        </is>
      </c>
      <c r="G9" s="50" t="inlineStr">
        <is>
          <t>AM</t>
        </is>
      </c>
      <c r="H9" s="51" t="inlineStr">
        <is>
          <t>S</t>
        </is>
      </c>
      <c r="I9" s="49" t="inlineStr">
        <is>
          <t>M</t>
        </is>
      </c>
      <c r="J9" s="50" t="inlineStr">
        <is>
          <t>AM</t>
        </is>
      </c>
      <c r="K9" s="51" t="inlineStr">
        <is>
          <t>S</t>
        </is>
      </c>
      <c r="L9" s="49" t="inlineStr">
        <is>
          <t>M</t>
        </is>
      </c>
      <c r="M9" s="50" t="inlineStr">
        <is>
          <t>AM</t>
        </is>
      </c>
      <c r="N9" s="51" t="inlineStr">
        <is>
          <t>S</t>
        </is>
      </c>
      <c r="O9" s="49" t="inlineStr">
        <is>
          <t>M</t>
        </is>
      </c>
      <c r="P9" s="50" t="inlineStr">
        <is>
          <t>AM</t>
        </is>
      </c>
      <c r="Q9" s="51" t="inlineStr">
        <is>
          <t>S</t>
        </is>
      </c>
      <c r="R9" s="49" t="inlineStr">
        <is>
          <t>M</t>
        </is>
      </c>
      <c r="S9" s="50" t="inlineStr">
        <is>
          <t>AM</t>
        </is>
      </c>
      <c r="T9" s="51" t="inlineStr">
        <is>
          <t>S</t>
        </is>
      </c>
      <c r="U9" s="49" t="inlineStr">
        <is>
          <t>M</t>
        </is>
      </c>
      <c r="V9" s="50" t="inlineStr">
        <is>
          <t>AM</t>
        </is>
      </c>
      <c r="W9" s="51" t="inlineStr">
        <is>
          <t>S</t>
        </is>
      </c>
      <c r="X9" s="49" t="inlineStr">
        <is>
          <t>M</t>
        </is>
      </c>
      <c r="Y9" s="50" t="inlineStr">
        <is>
          <t>AM</t>
        </is>
      </c>
      <c r="Z9" s="51" t="inlineStr">
        <is>
          <t>S</t>
        </is>
      </c>
      <c r="AA9" s="49" t="inlineStr">
        <is>
          <t>M</t>
        </is>
      </c>
      <c r="AB9" s="50" t="inlineStr">
        <is>
          <t>AM</t>
        </is>
      </c>
      <c r="AC9" s="51" t="inlineStr">
        <is>
          <t>S</t>
        </is>
      </c>
      <c r="AD9" s="49" t="inlineStr">
        <is>
          <t>M</t>
        </is>
      </c>
      <c r="AE9" s="50" t="inlineStr">
        <is>
          <t>AM</t>
        </is>
      </c>
      <c r="AF9" s="51" t="inlineStr">
        <is>
          <t>S</t>
        </is>
      </c>
      <c r="AG9" s="49" t="inlineStr">
        <is>
          <t>M</t>
        </is>
      </c>
      <c r="AH9" s="50" t="inlineStr">
        <is>
          <t>AM</t>
        </is>
      </c>
      <c r="AI9" s="51" t="inlineStr">
        <is>
          <t>S</t>
        </is>
      </c>
      <c r="AJ9" s="49" t="inlineStr">
        <is>
          <t>M</t>
        </is>
      </c>
      <c r="AK9" s="50" t="inlineStr">
        <is>
          <t>AM</t>
        </is>
      </c>
      <c r="AL9" s="51" t="inlineStr">
        <is>
          <t>S</t>
        </is>
      </c>
      <c r="AM9" s="49" t="inlineStr">
        <is>
          <t>M</t>
        </is>
      </c>
      <c r="AN9" s="50" t="inlineStr">
        <is>
          <t>AM</t>
        </is>
      </c>
      <c r="AO9" s="51" t="inlineStr">
        <is>
          <t>S</t>
        </is>
      </c>
      <c r="AP9" s="49" t="inlineStr">
        <is>
          <t>M</t>
        </is>
      </c>
      <c r="AQ9" s="50" t="inlineStr">
        <is>
          <t>AM</t>
        </is>
      </c>
      <c r="AR9" s="51" t="inlineStr">
        <is>
          <t>S</t>
        </is>
      </c>
      <c r="AS9" s="49" t="inlineStr">
        <is>
          <t>M</t>
        </is>
      </c>
      <c r="AT9" s="50" t="inlineStr">
        <is>
          <t>AM</t>
        </is>
      </c>
      <c r="AU9" s="51" t="inlineStr">
        <is>
          <t>S</t>
        </is>
      </c>
      <c r="AV9" s="49" t="inlineStr">
        <is>
          <t>M</t>
        </is>
      </c>
      <c r="AW9" s="50" t="inlineStr">
        <is>
          <t>AM</t>
        </is>
      </c>
      <c r="AX9" s="51" t="inlineStr">
        <is>
          <t>S</t>
        </is>
      </c>
      <c r="AY9" s="49" t="inlineStr">
        <is>
          <t>M</t>
        </is>
      </c>
      <c r="AZ9" s="50" t="inlineStr">
        <is>
          <t>AM</t>
        </is>
      </c>
      <c r="BA9" s="51" t="inlineStr">
        <is>
          <t>S</t>
        </is>
      </c>
      <c r="BB9" s="49" t="inlineStr">
        <is>
          <t>M</t>
        </is>
      </c>
      <c r="BC9" s="50" t="inlineStr">
        <is>
          <t>AM</t>
        </is>
      </c>
      <c r="BD9" s="51" t="inlineStr">
        <is>
          <t>S</t>
        </is>
      </c>
      <c r="BE9" s="49" t="inlineStr">
        <is>
          <t>M</t>
        </is>
      </c>
      <c r="BF9" s="50" t="inlineStr">
        <is>
          <t>AM</t>
        </is>
      </c>
      <c r="BG9" s="51" t="inlineStr">
        <is>
          <t>S</t>
        </is>
      </c>
      <c r="BH9" s="49" t="inlineStr">
        <is>
          <t>M</t>
        </is>
      </c>
      <c r="BI9" s="50" t="inlineStr">
        <is>
          <t>AM</t>
        </is>
      </c>
      <c r="BJ9" s="51" t="inlineStr">
        <is>
          <t>S</t>
        </is>
      </c>
      <c r="BK9" s="49" t="inlineStr">
        <is>
          <t>M</t>
        </is>
      </c>
      <c r="BL9" s="50" t="inlineStr">
        <is>
          <t>AM</t>
        </is>
      </c>
      <c r="BM9" s="51" t="inlineStr">
        <is>
          <t>S</t>
        </is>
      </c>
      <c r="BN9" s="49" t="inlineStr">
        <is>
          <t>M</t>
        </is>
      </c>
      <c r="BO9" s="50" t="inlineStr">
        <is>
          <t>AM</t>
        </is>
      </c>
      <c r="BP9" s="51" t="inlineStr">
        <is>
          <t>S</t>
        </is>
      </c>
      <c r="BQ9" s="49" t="inlineStr">
        <is>
          <t>M</t>
        </is>
      </c>
      <c r="BR9" s="50" t="inlineStr">
        <is>
          <t>AM</t>
        </is>
      </c>
      <c r="BS9" s="51" t="inlineStr">
        <is>
          <t>S</t>
        </is>
      </c>
      <c r="BT9" s="49" t="inlineStr">
        <is>
          <t>M</t>
        </is>
      </c>
      <c r="BU9" s="50" t="inlineStr">
        <is>
          <t>AM</t>
        </is>
      </c>
      <c r="BV9" s="51" t="inlineStr">
        <is>
          <t>S</t>
        </is>
      </c>
      <c r="BW9" s="49" t="inlineStr">
        <is>
          <t>M</t>
        </is>
      </c>
      <c r="BX9" s="50" t="inlineStr">
        <is>
          <t>AM</t>
        </is>
      </c>
      <c r="BY9" s="51" t="inlineStr">
        <is>
          <t>S</t>
        </is>
      </c>
      <c r="BZ9" s="49" t="inlineStr">
        <is>
          <t>M</t>
        </is>
      </c>
      <c r="CA9" s="50" t="inlineStr">
        <is>
          <t>AM</t>
        </is>
      </c>
      <c r="CB9" s="51" t="inlineStr">
        <is>
          <t>S</t>
        </is>
      </c>
      <c r="CC9" s="49" t="inlineStr">
        <is>
          <t>M</t>
        </is>
      </c>
      <c r="CD9" s="50" t="inlineStr">
        <is>
          <t>AM</t>
        </is>
      </c>
      <c r="CE9" s="51" t="inlineStr">
        <is>
          <t>S</t>
        </is>
      </c>
      <c r="CF9" s="49" t="inlineStr">
        <is>
          <t>M</t>
        </is>
      </c>
      <c r="CG9" s="50" t="inlineStr">
        <is>
          <t>AM</t>
        </is>
      </c>
      <c r="CH9" s="51" t="inlineStr">
        <is>
          <t>S</t>
        </is>
      </c>
      <c r="CI9" s="49" t="inlineStr">
        <is>
          <t>M</t>
        </is>
      </c>
      <c r="CJ9" s="50" t="inlineStr">
        <is>
          <t>AM</t>
        </is>
      </c>
      <c r="CK9" s="51" t="inlineStr">
        <is>
          <t>S</t>
        </is>
      </c>
      <c r="CL9" s="49" t="inlineStr">
        <is>
          <t>M</t>
        </is>
      </c>
      <c r="CM9" s="50" t="inlineStr">
        <is>
          <t>AM</t>
        </is>
      </c>
      <c r="CN9" s="51" t="inlineStr">
        <is>
          <t>S</t>
        </is>
      </c>
      <c r="CO9" s="49" t="inlineStr">
        <is>
          <t>M</t>
        </is>
      </c>
      <c r="CP9" s="50" t="inlineStr">
        <is>
          <t>AM</t>
        </is>
      </c>
      <c r="CQ9" s="51" t="inlineStr">
        <is>
          <t>S</t>
        </is>
      </c>
    </row>
    <row r="10" ht="12" customHeight="1" s="55">
      <c r="B10" s="40" t="inlineStr">
        <is>
          <t>Nom de la star</t>
        </is>
      </c>
      <c r="C10" s="52" t="inlineStr">
        <is>
          <t>Colonne1</t>
        </is>
      </c>
      <c r="D10" s="52" t="inlineStr">
        <is>
          <t>Colonne2</t>
        </is>
      </c>
      <c r="E10" s="52" t="inlineStr">
        <is>
          <t>Colonne3</t>
        </is>
      </c>
      <c r="F10" s="52" t="inlineStr">
        <is>
          <t>Colonne4</t>
        </is>
      </c>
      <c r="G10" s="52" t="inlineStr">
        <is>
          <t>Colonne5</t>
        </is>
      </c>
      <c r="H10" s="52" t="inlineStr">
        <is>
          <t>Colonne6</t>
        </is>
      </c>
      <c r="I10" s="52" t="inlineStr">
        <is>
          <t>Colonne7</t>
        </is>
      </c>
      <c r="J10" s="52" t="inlineStr">
        <is>
          <t>Colonne8</t>
        </is>
      </c>
      <c r="K10" s="52" t="inlineStr">
        <is>
          <t>Colonne9</t>
        </is>
      </c>
      <c r="L10" s="52" t="inlineStr">
        <is>
          <t>Colonne10</t>
        </is>
      </c>
      <c r="M10" s="52" t="inlineStr">
        <is>
          <t>Colonne11</t>
        </is>
      </c>
      <c r="N10" s="52" t="inlineStr">
        <is>
          <t>Colonne12</t>
        </is>
      </c>
      <c r="O10" s="52" t="inlineStr">
        <is>
          <t>Colonne13</t>
        </is>
      </c>
      <c r="P10" s="52" t="inlineStr">
        <is>
          <t>Colonne14</t>
        </is>
      </c>
      <c r="Q10" s="52" t="inlineStr">
        <is>
          <t>Colonne15</t>
        </is>
      </c>
      <c r="R10" s="52" t="inlineStr">
        <is>
          <t>Colonne16</t>
        </is>
      </c>
      <c r="S10" s="52" t="inlineStr">
        <is>
          <t>Colonne17</t>
        </is>
      </c>
      <c r="T10" s="52" t="inlineStr">
        <is>
          <t>Colonne18</t>
        </is>
      </c>
      <c r="U10" s="52" t="inlineStr">
        <is>
          <t>Colonne19</t>
        </is>
      </c>
      <c r="V10" s="52" t="inlineStr">
        <is>
          <t>Colonne20</t>
        </is>
      </c>
      <c r="W10" s="52" t="inlineStr">
        <is>
          <t>Colonne21</t>
        </is>
      </c>
      <c r="X10" s="52" t="inlineStr">
        <is>
          <t>Colonne22</t>
        </is>
      </c>
      <c r="Y10" s="52" t="inlineStr">
        <is>
          <t>Colonne23</t>
        </is>
      </c>
      <c r="Z10" s="52" t="inlineStr">
        <is>
          <t>Colonne24</t>
        </is>
      </c>
      <c r="AA10" s="52" t="inlineStr">
        <is>
          <t>Colonne25</t>
        </is>
      </c>
      <c r="AB10" s="52" t="inlineStr">
        <is>
          <t>Colonne26</t>
        </is>
      </c>
      <c r="AC10" s="52" t="inlineStr">
        <is>
          <t>Colonne27</t>
        </is>
      </c>
      <c r="AD10" s="52" t="inlineStr">
        <is>
          <t>Colonne28</t>
        </is>
      </c>
      <c r="AE10" s="52" t="inlineStr">
        <is>
          <t>Colonne29</t>
        </is>
      </c>
      <c r="AF10" s="52" t="inlineStr">
        <is>
          <t>Colonne30</t>
        </is>
      </c>
      <c r="AG10" s="52" t="inlineStr">
        <is>
          <t>Colonne31</t>
        </is>
      </c>
      <c r="AH10" s="52" t="inlineStr">
        <is>
          <t>Colonne312</t>
        </is>
      </c>
      <c r="AI10" s="52" t="inlineStr">
        <is>
          <t>Colonne313</t>
        </is>
      </c>
      <c r="AJ10" s="52" t="inlineStr">
        <is>
          <t>Colonne314</t>
        </is>
      </c>
      <c r="AK10" s="52" t="inlineStr">
        <is>
          <t>Colonne315</t>
        </is>
      </c>
      <c r="AL10" s="52" t="inlineStr">
        <is>
          <t>Colonne316</t>
        </is>
      </c>
      <c r="AM10" s="52" t="inlineStr">
        <is>
          <t>Colonne317</t>
        </is>
      </c>
      <c r="AN10" s="52" t="inlineStr">
        <is>
          <t>Colonne318</t>
        </is>
      </c>
      <c r="AO10" s="52" t="inlineStr">
        <is>
          <t>Colonne319</t>
        </is>
      </c>
      <c r="AP10" s="52" t="inlineStr">
        <is>
          <t>Colonne320</t>
        </is>
      </c>
      <c r="AQ10" s="52" t="inlineStr">
        <is>
          <t>Colonne321</t>
        </is>
      </c>
      <c r="AR10" s="52" t="inlineStr">
        <is>
          <t>Colonne322</t>
        </is>
      </c>
      <c r="AS10" s="52" t="inlineStr">
        <is>
          <t>Colonne323</t>
        </is>
      </c>
      <c r="AT10" s="52" t="inlineStr">
        <is>
          <t>Colonne324</t>
        </is>
      </c>
      <c r="AU10" s="52" t="inlineStr">
        <is>
          <t>Colonne325</t>
        </is>
      </c>
      <c r="AV10" s="52" t="inlineStr">
        <is>
          <t>Colonne326</t>
        </is>
      </c>
      <c r="AW10" s="52" t="inlineStr">
        <is>
          <t>Colonne327</t>
        </is>
      </c>
      <c r="AX10" s="52" t="inlineStr">
        <is>
          <t>Colonne328</t>
        </is>
      </c>
      <c r="AY10" s="52" t="inlineStr">
        <is>
          <t>Colonne329</t>
        </is>
      </c>
      <c r="AZ10" s="52" t="inlineStr">
        <is>
          <t>Colonne330</t>
        </is>
      </c>
      <c r="BA10" s="52" t="inlineStr">
        <is>
          <t>Colonne331</t>
        </is>
      </c>
      <c r="BB10" s="52" t="inlineStr">
        <is>
          <t>Colonne332</t>
        </is>
      </c>
      <c r="BC10" s="52" t="inlineStr">
        <is>
          <t>Colonne333</t>
        </is>
      </c>
      <c r="BD10" s="52" t="inlineStr">
        <is>
          <t>Colonne334</t>
        </is>
      </c>
      <c r="BE10" s="52" t="inlineStr">
        <is>
          <t>Colonne335</t>
        </is>
      </c>
      <c r="BF10" s="52" t="inlineStr">
        <is>
          <t>Colonne336</t>
        </is>
      </c>
      <c r="BG10" s="52" t="inlineStr">
        <is>
          <t>Colonne337</t>
        </is>
      </c>
      <c r="BH10" s="52" t="inlineStr">
        <is>
          <t>Colonne338</t>
        </is>
      </c>
      <c r="BI10" s="52" t="inlineStr">
        <is>
          <t>Colonne339</t>
        </is>
      </c>
      <c r="BJ10" s="52" t="inlineStr">
        <is>
          <t>Colonne340</t>
        </is>
      </c>
      <c r="BK10" s="52" t="inlineStr">
        <is>
          <t>Colonne341</t>
        </is>
      </c>
      <c r="BL10" s="52" t="inlineStr">
        <is>
          <t>Colonne342</t>
        </is>
      </c>
      <c r="BM10" s="52" t="inlineStr">
        <is>
          <t>Colonne343</t>
        </is>
      </c>
      <c r="BN10" s="52" t="inlineStr">
        <is>
          <t>Colonne344</t>
        </is>
      </c>
      <c r="BO10" s="52" t="inlineStr">
        <is>
          <t>Colonne345</t>
        </is>
      </c>
      <c r="BP10" s="52" t="inlineStr">
        <is>
          <t>Colonne346</t>
        </is>
      </c>
      <c r="BQ10" s="52" t="inlineStr">
        <is>
          <t>Colonne347</t>
        </is>
      </c>
      <c r="BR10" s="52" t="inlineStr">
        <is>
          <t>Colonne348</t>
        </is>
      </c>
      <c r="BS10" s="52" t="inlineStr">
        <is>
          <t>Colonne349</t>
        </is>
      </c>
      <c r="BT10" s="52" t="inlineStr">
        <is>
          <t>Colonne350</t>
        </is>
      </c>
      <c r="BU10" s="52" t="inlineStr">
        <is>
          <t>Colonne351</t>
        </is>
      </c>
      <c r="BV10" s="52" t="inlineStr">
        <is>
          <t>Colonne352</t>
        </is>
      </c>
      <c r="BW10" s="52" t="inlineStr">
        <is>
          <t>Colonne353</t>
        </is>
      </c>
      <c r="BX10" s="52" t="inlineStr">
        <is>
          <t>Colonne354</t>
        </is>
      </c>
      <c r="BY10" s="52" t="inlineStr">
        <is>
          <t>Colonne355</t>
        </is>
      </c>
      <c r="BZ10" s="52" t="inlineStr">
        <is>
          <t>Colonne356</t>
        </is>
      </c>
      <c r="CA10" s="52" t="inlineStr">
        <is>
          <t>Colonne357</t>
        </is>
      </c>
      <c r="CB10" s="52" t="inlineStr">
        <is>
          <t>Colonne358</t>
        </is>
      </c>
      <c r="CC10" s="52" t="inlineStr">
        <is>
          <t>Colonne359</t>
        </is>
      </c>
      <c r="CD10" s="52" t="inlineStr">
        <is>
          <t>Colonne360</t>
        </is>
      </c>
      <c r="CE10" s="52" t="inlineStr">
        <is>
          <t>Colonne361</t>
        </is>
      </c>
      <c r="CF10" s="52" t="inlineStr">
        <is>
          <t>Colonne362</t>
        </is>
      </c>
      <c r="CG10" s="52" t="inlineStr">
        <is>
          <t>Colonne363</t>
        </is>
      </c>
      <c r="CH10" s="52" t="inlineStr">
        <is>
          <t>Colonne364</t>
        </is>
      </c>
      <c r="CI10" s="52" t="inlineStr">
        <is>
          <t>Colonne365</t>
        </is>
      </c>
      <c r="CJ10" s="52" t="inlineStr">
        <is>
          <t>Colonne366</t>
        </is>
      </c>
      <c r="CK10" s="52" t="inlineStr">
        <is>
          <t>Colonne367</t>
        </is>
      </c>
      <c r="CL10" s="52" t="inlineStr">
        <is>
          <t>Colonne368</t>
        </is>
      </c>
      <c r="CM10" s="52" t="inlineStr">
        <is>
          <t>Colonne369</t>
        </is>
      </c>
      <c r="CN10" s="52" t="inlineStr">
        <is>
          <t>Colonne370</t>
        </is>
      </c>
      <c r="CO10" s="52" t="inlineStr">
        <is>
          <t>Colonne371</t>
        </is>
      </c>
      <c r="CP10" s="52" t="inlineStr">
        <is>
          <t>Colonne372</t>
        </is>
      </c>
      <c r="CQ10" s="52" t="inlineStr">
        <is>
          <t>Colonne373</t>
        </is>
      </c>
      <c r="CR10" s="53" t="inlineStr">
        <is>
          <t>Colonne32</t>
        </is>
      </c>
    </row>
    <row r="11" ht="22.5" customHeight="1" s="55">
      <c r="B11" s="27" t="inlineStr">
        <is>
          <t>Chloé</t>
        </is>
      </c>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c r="AA11" s="33" t="n"/>
      <c r="AB11" s="33" t="n"/>
      <c r="AC11" s="33" t="n"/>
      <c r="AD11" s="33" t="n"/>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c r="BJ11" s="33" t="n"/>
      <c r="BK11" s="33" t="n"/>
      <c r="BL11" s="33" t="n"/>
      <c r="BM11" s="33" t="n"/>
      <c r="BN11" s="33" t="n"/>
      <c r="BO11" s="33" t="n"/>
      <c r="BP11" s="33" t="n"/>
      <c r="BQ11" s="33" t="n"/>
      <c r="BR11" s="33" t="n"/>
      <c r="BS11" s="33" t="n"/>
      <c r="BT11" s="33" t="n"/>
      <c r="BU11" s="33" t="n"/>
      <c r="BV11" s="33" t="n"/>
      <c r="BW11" s="33" t="n"/>
      <c r="BX11" s="33" t="n"/>
      <c r="BY11" s="33" t="n"/>
      <c r="BZ11" s="33" t="n"/>
      <c r="CA11" s="33" t="n"/>
      <c r="CB11" s="33" t="n"/>
      <c r="CC11" s="33" t="n"/>
      <c r="CD11" s="33" t="n"/>
      <c r="CE11" s="33" t="n"/>
      <c r="CF11" s="33" t="n"/>
      <c r="CG11" s="33" t="n"/>
      <c r="CH11" s="33" t="n"/>
      <c r="CI11" s="33" t="n"/>
      <c r="CJ11" s="33" t="n"/>
      <c r="CK11" s="33" t="n"/>
      <c r="CL11" s="33" t="n"/>
      <c r="CM11" s="33" t="n"/>
      <c r="CN11" s="33" t="n"/>
      <c r="CO11" s="33" t="n"/>
      <c r="CP11" s="33" t="n"/>
      <c r="CQ11" s="33" t="n"/>
      <c r="CR11" s="29">
        <f>COUNTA(Juin245678910111213[[#This Row],[Colonne343]:[Colonne373]])</f>
        <v/>
      </c>
    </row>
    <row r="12" ht="22.5" customHeight="1" s="55">
      <c r="B12" s="27" t="inlineStr">
        <is>
          <t>Dorian</t>
        </is>
      </c>
      <c r="C12" s="33"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c r="AA12" s="33" t="n"/>
      <c r="AB12" s="33" t="n"/>
      <c r="AC12" s="33" t="n"/>
      <c r="AD12" s="33" t="n"/>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c r="BJ12" s="33" t="n"/>
      <c r="BK12" s="33" t="n"/>
      <c r="BL12" s="33" t="n"/>
      <c r="BM12" s="33" t="n"/>
      <c r="BN12" s="33" t="n"/>
      <c r="BO12" s="33" t="n"/>
      <c r="BP12" s="33" t="n"/>
      <c r="BQ12" s="33" t="n"/>
      <c r="BR12" s="33" t="n"/>
      <c r="BS12" s="33" t="n"/>
      <c r="BT12" s="33" t="n"/>
      <c r="BU12" s="33" t="n"/>
      <c r="BV12" s="33" t="n"/>
      <c r="BW12" s="33" t="n"/>
      <c r="BX12" s="33" t="n"/>
      <c r="BY12" s="33" t="n"/>
      <c r="BZ12" s="33" t="n"/>
      <c r="CA12" s="33" t="n"/>
      <c r="CB12" s="33" t="n"/>
      <c r="CC12" s="33" t="n"/>
      <c r="CD12" s="33" t="n"/>
      <c r="CE12" s="33" t="n"/>
      <c r="CF12" s="33" t="n"/>
      <c r="CG12" s="33" t="n"/>
      <c r="CH12" s="33" t="n"/>
      <c r="CI12" s="33" t="n"/>
      <c r="CJ12" s="33" t="n"/>
      <c r="CK12" s="33" t="n"/>
      <c r="CL12" s="33" t="n"/>
      <c r="CM12" s="33" t="n"/>
      <c r="CN12" s="33" t="n"/>
      <c r="CO12" s="33" t="n"/>
      <c r="CP12" s="33" t="n"/>
      <c r="CQ12" s="33" t="n"/>
      <c r="CR12" s="29">
        <f>COUNTA(Juin245678910111213[[#This Row],[Colonne343]:[Colonne373]])</f>
        <v/>
      </c>
    </row>
    <row r="13" ht="22.5" customHeight="1" s="55">
      <c r="B13" s="27" t="inlineStr">
        <is>
          <t>Francky</t>
        </is>
      </c>
      <c r="C13" s="33"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c r="AA13" s="33" t="n"/>
      <c r="AB13" s="33" t="n"/>
      <c r="AC13" s="33" t="n"/>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c r="BJ13" s="33" t="n"/>
      <c r="BK13" s="33" t="n"/>
      <c r="BL13" s="33" t="n"/>
      <c r="BM13" s="33" t="n"/>
      <c r="BN13" s="33" t="n"/>
      <c r="BO13" s="33" t="n"/>
      <c r="BP13" s="33" t="n"/>
      <c r="BQ13" s="33" t="n"/>
      <c r="BR13" s="33" t="n"/>
      <c r="BS13" s="33" t="n"/>
      <c r="BT13" s="33" t="n"/>
      <c r="BU13" s="33" t="n"/>
      <c r="BV13" s="33" t="n"/>
      <c r="BW13" s="33" t="n"/>
      <c r="BX13" s="33" t="n"/>
      <c r="BY13" s="33" t="n"/>
      <c r="BZ13" s="33" t="n"/>
      <c r="CA13" s="33" t="n"/>
      <c r="CB13" s="33" t="n"/>
      <c r="CC13" s="33" t="n"/>
      <c r="CD13" s="33" t="n"/>
      <c r="CE13" s="33" t="n"/>
      <c r="CF13" s="33" t="n"/>
      <c r="CG13" s="33" t="n"/>
      <c r="CH13" s="33" t="n"/>
      <c r="CI13" s="33" t="n"/>
      <c r="CJ13" s="33" t="n"/>
      <c r="CK13" s="33" t="n"/>
      <c r="CL13" s="33" t="n"/>
      <c r="CM13" s="33" t="n"/>
      <c r="CN13" s="33" t="n"/>
      <c r="CO13" s="33" t="n"/>
      <c r="CP13" s="33" t="n"/>
      <c r="CQ13" s="33" t="n"/>
      <c r="CR13" s="29">
        <f>COUNTA(Juin245678910111213[[#This Row],[Colonne343]:[Colonne373]])</f>
        <v/>
      </c>
    </row>
    <row r="14" ht="22.5" customHeight="1" s="55">
      <c r="B14" s="27" t="inlineStr">
        <is>
          <t>Jeremy</t>
        </is>
      </c>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c r="AA14" s="33" t="n"/>
      <c r="AB14" s="33" t="n"/>
      <c r="AC14" s="33" t="n"/>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c r="BJ14" s="33" t="n"/>
      <c r="BK14" s="33" t="n"/>
      <c r="BL14" s="33" t="n"/>
      <c r="BM14" s="33" t="n"/>
      <c r="BN14" s="33" t="n"/>
      <c r="BO14" s="33" t="n"/>
      <c r="BP14" s="33" t="n"/>
      <c r="BQ14" s="33" t="n"/>
      <c r="BR14" s="33" t="n"/>
      <c r="BS14" s="33" t="n"/>
      <c r="BT14" s="33" t="n"/>
      <c r="BU14" s="33" t="n"/>
      <c r="BV14" s="33" t="n"/>
      <c r="BW14" s="33" t="n"/>
      <c r="BX14" s="33" t="n"/>
      <c r="BY14" s="33" t="n"/>
      <c r="BZ14" s="33" t="n"/>
      <c r="CA14" s="33" t="n"/>
      <c r="CB14" s="33" t="n"/>
      <c r="CC14" s="33" t="n"/>
      <c r="CD14" s="33" t="n"/>
      <c r="CE14" s="33" t="n"/>
      <c r="CF14" s="33" t="n"/>
      <c r="CG14" s="33" t="n"/>
      <c r="CH14" s="33" t="n"/>
      <c r="CI14" s="33" t="n"/>
      <c r="CJ14" s="33" t="n"/>
      <c r="CK14" s="33" t="n"/>
      <c r="CL14" s="33" t="n"/>
      <c r="CM14" s="33" t="n"/>
      <c r="CN14" s="33" t="n"/>
      <c r="CO14" s="33" t="n"/>
      <c r="CP14" s="33" t="n"/>
      <c r="CQ14" s="33" t="n"/>
      <c r="CR14" s="29">
        <f>COUNTA(Juin245678910111213[[#This Row],[Colonne343]:[Colonne373]])</f>
        <v/>
      </c>
    </row>
    <row r="15" ht="22.5" customHeight="1" s="55">
      <c r="B15" s="27" t="inlineStr">
        <is>
          <t>Laurence</t>
        </is>
      </c>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n"/>
      <c r="AD15" s="33" t="n"/>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c r="BJ15" s="33" t="n"/>
      <c r="BK15" s="33" t="n"/>
      <c r="BL15" s="33" t="n"/>
      <c r="BM15" s="33" t="n"/>
      <c r="BN15" s="33" t="n"/>
      <c r="BO15" s="33" t="n"/>
      <c r="BP15" s="33" t="n"/>
      <c r="BQ15" s="33" t="n"/>
      <c r="BR15" s="33" t="n"/>
      <c r="BS15" s="33" t="n"/>
      <c r="BT15" s="33" t="n"/>
      <c r="BU15" s="33" t="n"/>
      <c r="BV15" s="33" t="n"/>
      <c r="BW15" s="33" t="n"/>
      <c r="BX15" s="33" t="n"/>
      <c r="BY15" s="33" t="n"/>
      <c r="BZ15" s="33" t="n"/>
      <c r="CA15" s="33" t="n"/>
      <c r="CB15" s="33" t="n"/>
      <c r="CC15" s="33" t="n"/>
      <c r="CD15" s="33" t="n"/>
      <c r="CE15" s="33" t="n"/>
      <c r="CF15" s="33" t="n"/>
      <c r="CG15" s="33" t="n"/>
      <c r="CH15" s="33" t="n"/>
      <c r="CI15" s="33" t="n"/>
      <c r="CJ15" s="33" t="n"/>
      <c r="CK15" s="33" t="n"/>
      <c r="CL15" s="33" t="n"/>
      <c r="CM15" s="33" t="n"/>
      <c r="CN15" s="33" t="n"/>
      <c r="CO15" s="33" t="n"/>
      <c r="CP15" s="33" t="n"/>
      <c r="CQ15" s="33" t="n"/>
      <c r="CR15" s="29">
        <f>COUNTA(Juin245678910111213[[#This Row],[Colonne343]:[Colonne373]])</f>
        <v/>
      </c>
    </row>
    <row r="16" ht="22.5" customFormat="1" customHeight="1" s="24">
      <c r="B16" s="27" t="inlineStr">
        <is>
          <t>Pouncho !</t>
        </is>
      </c>
      <c r="C16" s="33" t="n"/>
      <c r="D16" s="33" t="n"/>
      <c r="E16" s="33" t="n"/>
      <c r="F16" s="37" t="n"/>
      <c r="G16" s="33" t="n"/>
      <c r="H16" s="33" t="n"/>
      <c r="I16" s="33" t="n"/>
      <c r="J16" s="33" t="n"/>
      <c r="K16" s="33" t="n"/>
      <c r="L16" s="33" t="n"/>
      <c r="M16" s="33" t="n"/>
      <c r="N16" s="33" t="n"/>
      <c r="O16" s="33" t="n"/>
      <c r="P16" s="33" t="n"/>
      <c r="Q16" s="33" t="n"/>
      <c r="R16" s="33" t="n"/>
      <c r="S16" s="33" t="n"/>
      <c r="T16" s="33" t="n"/>
      <c r="U16" s="37" t="n"/>
      <c r="V16" s="33" t="n"/>
      <c r="W16" s="33" t="n"/>
      <c r="X16" s="33" t="n"/>
      <c r="Y16" s="33" t="n"/>
      <c r="Z16" s="33" t="n"/>
      <c r="AA16" s="33" t="n"/>
      <c r="AB16" s="33" t="n"/>
      <c r="AC16" s="33" t="n"/>
      <c r="AD16" s="33" t="n"/>
      <c r="AE16" s="33" t="n"/>
      <c r="AF16" s="33" t="n"/>
      <c r="AG16" s="33" t="n"/>
      <c r="AH16" s="33" t="n"/>
      <c r="AI16" s="33" t="n"/>
      <c r="AJ16" s="37" t="n"/>
      <c r="AK16" s="33" t="n"/>
      <c r="AL16" s="33" t="n"/>
      <c r="AM16" s="33" t="n"/>
      <c r="AN16" s="33" t="n"/>
      <c r="AO16" s="33" t="n"/>
      <c r="AP16" s="33" t="n"/>
      <c r="AQ16" s="33" t="n"/>
      <c r="AR16" s="33" t="n"/>
      <c r="AS16" s="33" t="n"/>
      <c r="AT16" s="33" t="n"/>
      <c r="AU16" s="33" t="n"/>
      <c r="AV16" s="33" t="n"/>
      <c r="AW16" s="33" t="n"/>
      <c r="AX16" s="33" t="n"/>
      <c r="AY16" s="37" t="n"/>
      <c r="AZ16" s="33" t="n"/>
      <c r="BA16" s="33" t="n"/>
      <c r="BB16" s="33" t="n"/>
      <c r="BC16" s="33" t="n"/>
      <c r="BD16" s="33" t="n"/>
      <c r="BE16" s="33" t="n"/>
      <c r="BF16" s="33" t="n"/>
      <c r="BG16" s="33" t="n"/>
      <c r="BH16" s="33" t="n"/>
      <c r="BI16" s="33" t="n"/>
      <c r="BJ16" s="33" t="n"/>
      <c r="BK16" s="33" t="n"/>
      <c r="BL16" s="33" t="n"/>
      <c r="BM16" s="33" t="n"/>
      <c r="BN16" s="37" t="n"/>
      <c r="BO16" s="33" t="n"/>
      <c r="BP16" s="33" t="n"/>
      <c r="BQ16" s="33" t="n"/>
      <c r="BR16" s="33" t="n"/>
      <c r="BS16" s="33" t="n"/>
      <c r="BT16" s="33" t="n"/>
      <c r="BU16" s="33" t="n"/>
      <c r="BV16" s="33" t="n"/>
      <c r="BW16" s="33" t="n"/>
      <c r="BX16" s="33" t="n"/>
      <c r="BY16" s="33" t="n"/>
      <c r="BZ16" s="33" t="n"/>
      <c r="CA16" s="33" t="n"/>
      <c r="CB16" s="33" t="n"/>
      <c r="CC16" s="33" t="n"/>
      <c r="CD16" s="33" t="n"/>
      <c r="CE16" s="33" t="n"/>
      <c r="CF16" s="33" t="n"/>
      <c r="CG16" s="33" t="n"/>
      <c r="CH16" s="33" t="n"/>
      <c r="CI16" s="33" t="n"/>
      <c r="CJ16" s="33" t="n"/>
      <c r="CK16" s="33" t="n"/>
      <c r="CL16" s="33" t="n"/>
      <c r="CM16" s="33" t="n"/>
      <c r="CN16" s="33" t="n"/>
      <c r="CO16" s="33" t="n"/>
      <c r="CP16" s="33" t="n"/>
      <c r="CQ16" s="29" t="n"/>
      <c r="CR16" s="29">
        <f>COUNTA(Juin245678910111213[[#This Row],[Colonne343]:[Colonne373]])</f>
        <v/>
      </c>
      <c r="CS16" s="0" t="n"/>
      <c r="CT16" s="0" t="n"/>
    </row>
    <row r="17" ht="22.5" customHeight="1" s="55">
      <c r="B17" s="5">
        <f>NomMois&amp;" total"</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9">
        <f>SUBTOTAL(103,Juin245678910111213[Colonne343])</f>
        <v/>
      </c>
      <c r="BN17" s="59">
        <f>SUBTOTAL(103,Juin245678910111213[Colonne344])</f>
        <v/>
      </c>
      <c r="BO17" s="59">
        <f>SUBTOTAL(103,Juin245678910111213[Colonne345])</f>
        <v/>
      </c>
      <c r="BP17" s="59">
        <f>SUBTOTAL(103,Juin245678910111213[Colonne346])</f>
        <v/>
      </c>
      <c r="BQ17" s="59">
        <f>SUBTOTAL(103,Juin245678910111213[Colonne347])</f>
        <v/>
      </c>
      <c r="BR17" s="59">
        <f>SUBTOTAL(103,Juin245678910111213[Colonne348])</f>
        <v/>
      </c>
      <c r="BS17" s="59">
        <f>SUBTOTAL(103,Juin245678910111213[Colonne349])</f>
        <v/>
      </c>
      <c r="BT17" s="59">
        <f>SUBTOTAL(103,Juin245678910111213[Colonne350])</f>
        <v/>
      </c>
      <c r="BU17" s="59">
        <f>SUBTOTAL(103,Juin245678910111213[Colonne351])</f>
        <v/>
      </c>
      <c r="BV17" s="59">
        <f>SUBTOTAL(103,Juin245678910111213[Colonne352])</f>
        <v/>
      </c>
      <c r="BW17" s="59">
        <f>SUBTOTAL(103,Juin245678910111213[Colonne353])</f>
        <v/>
      </c>
      <c r="BX17" s="59">
        <f>SUBTOTAL(103,Juin245678910111213[Colonne354])</f>
        <v/>
      </c>
      <c r="BY17" s="59">
        <f>SUBTOTAL(103,Juin245678910111213[Colonne355])</f>
        <v/>
      </c>
      <c r="BZ17" s="59">
        <f>SUBTOTAL(103,Juin245678910111213[Colonne356])</f>
        <v/>
      </c>
      <c r="CA17" s="59">
        <f>SUBTOTAL(103,Juin245678910111213[Colonne357])</f>
        <v/>
      </c>
      <c r="CB17" s="59">
        <f>SUBTOTAL(103,Juin245678910111213[Colonne358])</f>
        <v/>
      </c>
      <c r="CC17" s="59">
        <f>SUBTOTAL(103,Juin245678910111213[Colonne359])</f>
        <v/>
      </c>
      <c r="CD17" s="59">
        <f>SUBTOTAL(103,Juin245678910111213[Colonne360])</f>
        <v/>
      </c>
      <c r="CE17" s="59">
        <f>SUBTOTAL(103,Juin245678910111213[Colonne361])</f>
        <v/>
      </c>
      <c r="CF17" s="59">
        <f>SUBTOTAL(103,Juin245678910111213[Colonne362])</f>
        <v/>
      </c>
      <c r="CG17" s="59">
        <f>SUBTOTAL(103,Juin245678910111213[Colonne363])</f>
        <v/>
      </c>
      <c r="CH17" s="59">
        <f>SUBTOTAL(103,Juin245678910111213[Colonne364])</f>
        <v/>
      </c>
      <c r="CI17" s="59">
        <f>SUBTOTAL(103,Juin245678910111213[Colonne365])</f>
        <v/>
      </c>
      <c r="CJ17" s="59">
        <f>SUBTOTAL(103,Juin245678910111213[Colonne366])</f>
        <v/>
      </c>
      <c r="CK17" s="59">
        <f>SUBTOTAL(103,Juin245678910111213[Colonne367])</f>
        <v/>
      </c>
      <c r="CL17" s="59">
        <f>SUBTOTAL(103,Juin245678910111213[Colonne368])</f>
        <v/>
      </c>
      <c r="CM17" s="59">
        <f>SUBTOTAL(103,Juin245678910111213[Colonne369])</f>
        <v/>
      </c>
      <c r="CN17" s="59">
        <f>SUBTOTAL(103,Juin245678910111213[Colonne370])</f>
        <v/>
      </c>
      <c r="CO17" s="59">
        <f>SUBTOTAL(103,Juin245678910111213[Colonne371])</f>
        <v/>
      </c>
      <c r="CP17" s="59">
        <f>SUBTOTAL(109,Juin245678910111213[Colonne372])</f>
        <v/>
      </c>
      <c r="CQ17" s="59">
        <f>SUBTOTAL(109,Juin245678910111213[Colonne373])</f>
        <v/>
      </c>
      <c r="CR17" s="59">
        <f>SUBTOTAL(109,Juin245678910111213[Colonne32])</f>
        <v/>
      </c>
    </row>
    <row r="18" ht="26.25" customHeight="1" s="55">
      <c r="B18" s="25" t="inlineStr">
        <is>
          <t xml:space="preserve">repetition chez/concert </t>
        </is>
      </c>
      <c r="W18" s="26" t="n"/>
    </row>
    <row r="19" ht="30" customHeight="1" s="55">
      <c r="B19" s="23" t="inlineStr">
        <is>
          <t>heure</t>
        </is>
      </c>
    </row>
  </sheetData>
  <mergeCells count="44">
    <mergeCell ref="CL8:CN8"/>
    <mergeCell ref="F8:H8"/>
    <mergeCell ref="L8:N8"/>
    <mergeCell ref="DS7:DU7"/>
    <mergeCell ref="BH8:BJ8"/>
    <mergeCell ref="AS8:AU8"/>
    <mergeCell ref="CI8:CK8"/>
    <mergeCell ref="BT8:BV8"/>
    <mergeCell ref="BK8:BM8"/>
    <mergeCell ref="AD4:AG4"/>
    <mergeCell ref="C8:E8"/>
    <mergeCell ref="I8:K8"/>
    <mergeCell ref="Y4:AB4"/>
    <mergeCell ref="G4:I4"/>
    <mergeCell ref="BE8:BG8"/>
    <mergeCell ref="O8:Q8"/>
    <mergeCell ref="U8:W8"/>
    <mergeCell ref="CF8:CH8"/>
    <mergeCell ref="BQ8:BS8"/>
    <mergeCell ref="BW8:BY8"/>
    <mergeCell ref="C6:AG6"/>
    <mergeCell ref="T4:W4"/>
    <mergeCell ref="DM7:DO7"/>
    <mergeCell ref="AH6:AK6"/>
    <mergeCell ref="AA8:AC8"/>
    <mergeCell ref="AG8:AI8"/>
    <mergeCell ref="D4:E4"/>
    <mergeCell ref="R8:T8"/>
    <mergeCell ref="AD8:AF8"/>
    <mergeCell ref="CC8:CE8"/>
    <mergeCell ref="BN8:BP8"/>
    <mergeCell ref="AM8:AO8"/>
    <mergeCell ref="CO8:CQ8"/>
    <mergeCell ref="BZ8:CB8"/>
    <mergeCell ref="O4:R4"/>
    <mergeCell ref="DP7:DR7"/>
    <mergeCell ref="AY8:BA8"/>
    <mergeCell ref="X8:Z8"/>
    <mergeCell ref="DV7:DX7"/>
    <mergeCell ref="AP8:AR8"/>
    <mergeCell ref="K4:L4"/>
    <mergeCell ref="AJ8:AL8"/>
    <mergeCell ref="AV8:AX8"/>
    <mergeCell ref="BB8:BD8"/>
  </mergeCells>
  <conditionalFormatting sqref="C11:AG15">
    <cfRule type="expression" priority="11" stopIfTrue="1">
      <formula>C11=""</formula>
    </cfRule>
    <cfRule type="expression" priority="12" dxfId="3" stopIfTrue="1">
      <formula>C11=$C$4</formula>
    </cfRule>
    <cfRule type="expression" priority="13" dxfId="2" stopIfTrue="1">
      <formula>C11=$F$4</formula>
    </cfRule>
    <cfRule type="expression" priority="14" dxfId="1" stopIfTrue="1">
      <formula>C11=$J$4</formula>
    </cfRule>
    <cfRule type="expression" priority="15" dxfId="0" stopIfTrue="1">
      <formula>C11=$N$4</formula>
    </cfRule>
  </conditionalFormatting>
  <conditionalFormatting sqref="AH11:BL15">
    <cfRule type="expression" priority="6" stopIfTrue="1">
      <formula>AH11=""</formula>
    </cfRule>
    <cfRule type="expression" priority="7" dxfId="3" stopIfTrue="1">
      <formula>AH11=$C$4</formula>
    </cfRule>
    <cfRule type="expression" priority="8" dxfId="2" stopIfTrue="1">
      <formula>AH11=$F$4</formula>
    </cfRule>
    <cfRule type="expression" priority="9" dxfId="1" stopIfTrue="1">
      <formula>AH11=$J$4</formula>
    </cfRule>
    <cfRule type="expression" priority="10" dxfId="0" stopIfTrue="1">
      <formula>AH11=$N$4</formula>
    </cfRule>
  </conditionalFormatting>
  <conditionalFormatting sqref="BM11:CQ15">
    <cfRule type="expression" priority="1" stopIfTrue="1">
      <formula>BM11=""</formula>
    </cfRule>
    <cfRule type="expression" priority="2" dxfId="3" stopIfTrue="1">
      <formula>BM11=$C$4</formula>
    </cfRule>
    <cfRule type="expression" priority="3" dxfId="2" stopIfTrue="1">
      <formula>BM11=$F$4</formula>
    </cfRule>
    <cfRule type="expression" priority="4" dxfId="1" stopIfTrue="1">
      <formula>BM11=$J$4</formula>
    </cfRule>
    <cfRule type="expression" priority="5" dxfId="0" stopIfTrue="1">
      <formula>BM11=$N$4</formula>
    </cfRule>
  </conditionalFormatting>
  <conditionalFormatting sqref="C16:CQ16">
    <cfRule type="expression" priority="16" dxfId="5">
      <formula>C16=$S$4</formula>
    </cfRule>
    <cfRule type="expression" priority="17" dxfId="4">
      <formula>C16=$X$4</formula>
    </cfRule>
    <cfRule type="expression" priority="18" stopIfTrue="1">
      <formula>C16=""</formula>
    </cfRule>
    <cfRule type="expression" priority="19" dxfId="3" stopIfTrue="1">
      <formula>C16=$C$4</formula>
    </cfRule>
    <cfRule type="expression" priority="20" dxfId="2" stopIfTrue="1">
      <formula>C16=$F$4</formula>
    </cfRule>
    <cfRule type="expression" priority="21" dxfId="1" stopIfTrue="1">
      <formula>C16=$J$4</formula>
    </cfRule>
    <cfRule type="expression" priority="22" dxfId="0" stopIfTrue="1">
      <formula>C16=$N$4</formula>
    </cfRule>
  </conditionalFormatting>
  <conditionalFormatting sqref="CR11:CR16">
    <cfRule type="dataBar" priority="23">
      <dataBar>
        <cfvo type="min"/>
        <cfvo type="formula" val="DATEDIF(DATE(CalendarYear,2,1),DATE(CalendarYear,3,1),&quot;d&quot;)"/>
        <color theme="2" tint="-0.249977111117893"/>
      </dataBar>
    </cfRule>
  </conditionalFormatting>
  <dataValidations count="14">
    <dataValidation sqref="C8:C9 F9 I9 L9 O9 R9 U9 X9 AA9 AD9 AG9 AJ9 AM9 AP9 AS9 AV9 AY9 BB9 BE9 BH9 BK9 BN9 BQ9 BT9 BW9 BZ9 CC9 CF9 CI9 CL9 CO9" showDropDown="0" showInputMessage="1" showErrorMessage="1" allowBlank="1" prompt="Les jours du mois de cette ligne sont générés automatiquement. Entrez l’absence et le motif d’absence d’un employé dans chaque colonne pour chaque jour du mois. Un champ vide indique qu’il n’y a pas eu d’absence"/>
    <dataValidation sqref="C4" showDropDown="0" showInputMessage="1" showErrorMessage="1" allowBlank="1" prompt="La lettre « C » indique une absence pour cause de congé"/>
    <dataValidation sqref="F4" showDropDown="0" showInputMessage="1" showErrorMessage="1" allowBlank="1" prompt="La lettre « P » indique une absence pour motifs personnels"/>
    <dataValidation sqref="J4" showDropDown="0" showInputMessage="1" showErrorMessage="1" allowBlank="1" prompt="La lettre « M » indique une absence pour cause de maladie"/>
    <dataValidation sqref="N4 S4" showDropDown="0" showInputMessage="1" showErrorMessage="1" allowBlank="1" prompt="Entrez une lettre et personnalisez l’étiquette à droite pour ajouter un élément de clé"/>
    <dataValidation sqref="O4 T4" showDropDown="0" showInputMessage="1" showErrorMessage="1" allowBlank="1" prompt="Entrez une étiquette pour décrire la clé personnalisée à gauche"/>
    <dataValidation sqref="A1" showDropDown="0" showInputMessage="1" showErrorMessage="1" allowBlank="1" prompt="Le Calendrier des absences des employés suit les absences exprimées en jours pour chaque mois. Il existe 13 feuilles de calcul, 12 mensuelles et la dernière pour les noms des employés. Suivez les absences du mois de janvier dans cette feuille de calcul"/>
    <dataValidation sqref="B2" showDropDown="0" showInputMessage="1" showErrorMessage="1" allowBlank="1" prompt="Le nom du mois pour ce calendrier des absences se trouve dans cette cellule. Le total des absences pour ce mois figure dans la dernière cellule du tableau. Vous pouvez sélectionner les noms des employés dans la colonne B du tableau"/>
    <dataValidation sqref="B2" showDropDown="0" showInputMessage="1" showErrorMessage="1" allowBlank="1" prompt="Le titre mis à jour automatiquement figure dans cette cellule. Pour modifier le titre, mettez à jour la cellule B1 de la feuille de calcul Janvier"/>
    <dataValidation sqref="B10:BE10 BH10 BK10 BN10:BU10" showDropDown="0" showInputMessage="1" showErrorMessage="1" allowBlank="1" error="Sélectionnez un nom dans la liste. Sélectionnez ANNULER, appuyez sur ALT+FLÈCHE BAS, puis sur ENTRÉE pour sélectionner un nom" prompt="Entrez les noms des employés dans la feuille de calcul ayant pour titre Noms des employés, puis sélectionnez un des noms de la liste figurant dans cette colonne. Appuyez sur ALT+FLÈCHE BAS, puis sur ENTRÉE pour sélectionner un nom" errorStyle="warning"/>
    <dataValidation sqref="C8:C9 F9 I9 L9 O9 R9 U7 U9 X9 AA9 AD9 AG9 AJ9 AM9 AP7 AP9 AS9 AV9 AY9 BB9 BE9 BH9 BK7 BK9 BN9 BQ9 BT9 BW9 BZ9 CC9 CF7 CF9 CI9 CL9 CO9 DA7" showDropDown="0" showInputMessage="1" showErrorMessage="1" allowBlank="1" prompt="Les jours de la semaine de cette ligne sont automatiquement mis à jour pour le mois en fonction de l’année dans AH4. Chaque jour du mois est une colonne dans laquelle sont notés l’absence et le motif de l’absence d’un employé"/>
    <dataValidation sqref="B4" showDropDown="0" showInputMessage="1" showErrorMessage="1" allowBlank="1" prompt="Cette ligne définit les clés utilisées dans le tableau : la cellule C4 un congé, la G4 personnel, et K4 un congé maladie. Les cellules N4 et R4 sont personnalisables "/>
    <dataValidation sqref="B1" showDropDown="0" showInputMessage="1" showErrorMessage="1" allowBlank="1" prompt="Le titre de la feuille de calcul figure dans cette cellule. "/>
    <dataValidation sqref="AH6" showDropDown="0" showInputMessage="1" showErrorMessage="1" allowBlank="1" prompt="Année mise à jour automatiquement en fonction de l’année entrée dans la feuille de calcul Janvier"/>
  </dataValidations>
  <pageMargins left="0.7" right="0.7" top="0.75" bottom="0.75" header="0.3" footer="0.3"/>
  <pageSetup orientation="portrait" paperSize="9" fitToHeight="0"/>
  <tableParts count="1">
    <tablePart xmlns:r="http://schemas.openxmlformats.org/officeDocument/2006/relationships" r:id="rId1"/>
  </tableParts>
</worksheet>
</file>

<file path=xl/worksheets/sheet13.xml><?xml version="1.0" encoding="utf-8"?>
<worksheet xmlns="http://schemas.openxmlformats.org/spreadsheetml/2006/main">
  <sheetPr>
    <tabColor theme="1"/>
    <outlinePr summaryBelow="1" summaryRight="1"/>
    <pageSetUpPr/>
  </sheetPr>
  <dimension ref="B1:B9"/>
  <sheetViews>
    <sheetView showGridLines="0" zoomScaleNormal="100" workbookViewId="0">
      <selection activeCell="D18" sqref="D18"/>
    </sheetView>
  </sheetViews>
  <sheetFormatPr baseColWidth="10" defaultColWidth="8.7109375" defaultRowHeight="30" customHeight="1"/>
  <cols>
    <col width="2.7109375" customWidth="1" style="55" min="1" max="1"/>
    <col width="32.140625" customWidth="1" style="55" min="2" max="2"/>
    <col width="2.7109375" customWidth="1" style="55" min="3" max="3"/>
  </cols>
  <sheetData>
    <row r="1" ht="49.9" customHeight="1" s="55">
      <c r="B1" s="12" t="inlineStr">
        <is>
          <t>Noms des employés</t>
        </is>
      </c>
    </row>
    <row r="2" ht="15" customHeight="1" s="55"/>
    <row r="3" ht="30" customHeight="1" s="55">
      <c r="B3" s="0" t="inlineStr">
        <is>
          <t>Noms des employés</t>
        </is>
      </c>
    </row>
    <row r="4" ht="30" customHeight="1" s="55">
      <c r="B4" s="6" t="inlineStr">
        <is>
          <t>Chloé</t>
        </is>
      </c>
    </row>
    <row r="5" ht="30" customHeight="1" s="55">
      <c r="B5" s="6" t="inlineStr">
        <is>
          <t>Dorian</t>
        </is>
      </c>
    </row>
    <row r="6" ht="30" customHeight="1" s="55">
      <c r="B6" s="6" t="inlineStr">
        <is>
          <t>Francky</t>
        </is>
      </c>
    </row>
    <row r="7" ht="30" customHeight="1" s="55">
      <c r="B7" s="6" t="inlineStr">
        <is>
          <t>Jeremy</t>
        </is>
      </c>
    </row>
    <row r="8" ht="30" customHeight="1" s="55">
      <c r="B8" s="6" t="inlineStr">
        <is>
          <t>Laurence</t>
        </is>
      </c>
    </row>
    <row r="9" ht="30" customHeight="1" s="55">
      <c r="B9" s="6" t="inlineStr">
        <is>
          <t>Pouncho !</t>
        </is>
      </c>
    </row>
  </sheetData>
  <dataValidations count="2">
    <dataValidation sqref="A1" showDropDown="0" showInputMessage="1" showErrorMessage="1" allowBlank="1" prompt="Entrez les noms des employés dans le tableau Noms des employés de cette feuille de calcul. Ces noms sont utilisés en tant qu’options dans la colonne B du tableau des absences de chaque mois."/>
    <dataValidation sqref="B3" showDropDown="0" showInputMessage="1" showErrorMessage="1" allowBlank="1" prompt="Entrez les noms des employés dans cette colonne"/>
  </dataValidations>
  <pageMargins left="0.7" right="0.7" top="0.75" bottom="0.75" header="0.3" footer="0.3"/>
  <pageSetup orientation="portrait" paperSize="9" horizontalDpi="200" verticalDpi="2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2023-01-31T06:59:27Z</dcterms:created>
  <dcterms:modified xsi:type="dcterms:W3CDTF">2026-05-10T10:02:53Z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